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is.thirouin\ownCloud\IPDEV\IPDEV2\Vie IPDEV II\Reportings - outils fonds locaux\"/>
    </mc:Choice>
  </mc:AlternateContent>
  <bookViews>
    <workbookView xWindow="0" yWindow="0" windowWidth="23040" windowHeight="8532" activeTab="7"/>
  </bookViews>
  <sheets>
    <sheet name="Donnees figees" sheetId="6" r:id="rId1"/>
    <sheet name="Capital" sheetId="7" r:id="rId2"/>
    <sheet name="Pret" sheetId="10" r:id="rId3"/>
    <sheet name="Performance" sheetId="9" r:id="rId4"/>
    <sheet name="Impact" sheetId="11" r:id="rId5"/>
    <sheet name="Couts suivi" sheetId="13" r:id="rId6"/>
    <sheet name="Fiche entreprise p.1" sheetId="4" r:id="rId7"/>
    <sheet name="Fiche entreprise p.2" sheetId="5" r:id="rId8"/>
  </sheets>
  <definedNames>
    <definedName name="_xlnm.Print_Area" localSheetId="6">'Fiche entreprise p.1'!$A$1:$Q$46</definedName>
    <definedName name="_xlnm.Print_Area" localSheetId="7">'Fiche entreprise p.2'!$A$1:$N$46</definedName>
  </definedNames>
  <calcPr calcId="152511"/>
</workbook>
</file>

<file path=xl/calcChain.xml><?xml version="1.0" encoding="utf-8"?>
<calcChain xmlns="http://schemas.openxmlformats.org/spreadsheetml/2006/main">
  <c r="L13" i="11" l="1"/>
  <c r="H4" i="4"/>
  <c r="F13" i="11"/>
  <c r="G13" i="11"/>
  <c r="H13" i="11"/>
  <c r="I13" i="11"/>
  <c r="J13" i="11"/>
  <c r="K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E13" i="11"/>
  <c r="D39" i="5"/>
  <c r="C39" i="5"/>
  <c r="J24" i="5" l="1"/>
  <c r="J23" i="5"/>
  <c r="J22" i="5"/>
  <c r="G26" i="10" l="1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F26" i="10"/>
  <c r="E26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F25" i="10"/>
  <c r="E25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F24" i="10"/>
  <c r="E24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F23" i="10"/>
  <c r="E23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F36" i="10"/>
  <c r="E36" i="10"/>
  <c r="F37" i="10"/>
  <c r="E37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F33" i="10"/>
  <c r="E34" i="10"/>
  <c r="E33" i="10"/>
  <c r="F34" i="10"/>
  <c r="E29" i="10"/>
  <c r="F29" i="10" s="1"/>
  <c r="G29" i="10" s="1"/>
  <c r="H29" i="10" s="1"/>
  <c r="I29" i="10" s="1"/>
  <c r="J29" i="10" s="1"/>
  <c r="K29" i="10" s="1"/>
  <c r="L29" i="10" s="1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Y29" i="10" s="1"/>
  <c r="Z29" i="10" s="1"/>
  <c r="AA29" i="10" s="1"/>
  <c r="AB29" i="10" s="1"/>
  <c r="AC29" i="10" s="1"/>
  <c r="AD29" i="10" s="1"/>
  <c r="AE29" i="10" s="1"/>
  <c r="E28" i="10"/>
  <c r="F28" i="10" s="1"/>
  <c r="F31" i="10" s="1"/>
  <c r="E31" i="10" l="1"/>
  <c r="G28" i="10"/>
  <c r="D26" i="5"/>
  <c r="C26" i="5"/>
  <c r="Q18" i="5"/>
  <c r="R18" i="5" s="1"/>
  <c r="C29" i="5" s="1"/>
  <c r="C21" i="5" l="1"/>
  <c r="C31" i="5"/>
  <c r="C18" i="5"/>
  <c r="C27" i="5"/>
  <c r="C32" i="5"/>
  <c r="C33" i="5"/>
  <c r="C19" i="5"/>
  <c r="C28" i="5"/>
  <c r="C20" i="5"/>
  <c r="G34" i="10"/>
  <c r="G37" i="10"/>
  <c r="G31" i="10"/>
  <c r="H34" i="10"/>
  <c r="H28" i="10"/>
  <c r="L15" i="5"/>
  <c r="B2" i="4"/>
  <c r="K5" i="4"/>
  <c r="G5" i="4"/>
  <c r="C5" i="4"/>
  <c r="J4" i="4"/>
  <c r="C4" i="4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F14" i="7"/>
  <c r="E14" i="7"/>
  <c r="U2" i="4"/>
  <c r="Q2" i="5"/>
  <c r="R2" i="5" s="1"/>
  <c r="D5" i="5" s="1"/>
  <c r="AE20" i="7"/>
  <c r="AE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F17" i="7"/>
  <c r="E17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F18" i="7"/>
  <c r="F19" i="7"/>
  <c r="F20" i="7"/>
  <c r="F21" i="7"/>
  <c r="E21" i="7"/>
  <c r="E20" i="7"/>
  <c r="E19" i="7"/>
  <c r="E18" i="7"/>
  <c r="E15" i="7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C5" i="5" l="1"/>
  <c r="F15" i="7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D9" i="5"/>
  <c r="C9" i="5"/>
  <c r="C11" i="5"/>
  <c r="D6" i="5"/>
  <c r="C6" i="5"/>
  <c r="C8" i="5"/>
  <c r="C41" i="5"/>
  <c r="C42" i="5"/>
  <c r="C40" i="5"/>
  <c r="H37" i="10"/>
  <c r="I28" i="10"/>
  <c r="I34" i="10"/>
  <c r="H31" i="10"/>
  <c r="J6" i="4"/>
  <c r="E6" i="4"/>
  <c r="C12" i="5" l="1"/>
  <c r="I37" i="10"/>
  <c r="J37" i="10"/>
  <c r="J28" i="10"/>
  <c r="I31" i="10"/>
  <c r="Q19" i="5"/>
  <c r="R19" i="5" s="1"/>
  <c r="D32" i="5" l="1"/>
  <c r="D27" i="5"/>
  <c r="D18" i="5"/>
  <c r="D31" i="5"/>
  <c r="D21" i="5"/>
  <c r="D29" i="5"/>
  <c r="D20" i="5"/>
  <c r="D33" i="5"/>
  <c r="D28" i="5"/>
  <c r="D19" i="5"/>
  <c r="K28" i="10"/>
  <c r="J31" i="10"/>
  <c r="J34" i="10"/>
  <c r="D40" i="5" l="1"/>
  <c r="D30" i="5"/>
  <c r="D34" i="5"/>
  <c r="D43" i="5" s="1"/>
  <c r="D42" i="5"/>
  <c r="D41" i="5"/>
  <c r="K34" i="10"/>
  <c r="K37" i="10"/>
  <c r="L28" i="10"/>
  <c r="K31" i="10"/>
  <c r="N37" i="10" l="1"/>
  <c r="D8" i="5"/>
  <c r="M37" i="10"/>
  <c r="L37" i="10"/>
  <c r="D10" i="5" s="1"/>
  <c r="L34" i="10"/>
  <c r="M28" i="10"/>
  <c r="L31" i="10"/>
  <c r="D11" i="5" s="1"/>
  <c r="E33" i="5"/>
  <c r="E32" i="5"/>
  <c r="E31" i="5"/>
  <c r="C34" i="5"/>
  <c r="E29" i="5"/>
  <c r="E28" i="5"/>
  <c r="E27" i="5"/>
  <c r="C30" i="5"/>
  <c r="E30" i="5" s="1"/>
  <c r="E6" i="5"/>
  <c r="E9" i="5"/>
  <c r="E5" i="5"/>
  <c r="D7" i="5"/>
  <c r="C7" i="5"/>
  <c r="D12" i="5" l="1"/>
  <c r="N34" i="10"/>
  <c r="S34" i="10"/>
  <c r="T37" i="10"/>
  <c r="AD37" i="10"/>
  <c r="X37" i="10"/>
  <c r="U34" i="10"/>
  <c r="P34" i="10"/>
  <c r="W34" i="10"/>
  <c r="M34" i="10"/>
  <c r="Z37" i="10"/>
  <c r="N28" i="10"/>
  <c r="M31" i="10"/>
  <c r="E34" i="5"/>
  <c r="C43" i="5"/>
  <c r="E7" i="5"/>
  <c r="AA37" i="10" l="1"/>
  <c r="Z34" i="10"/>
  <c r="U37" i="10"/>
  <c r="Y37" i="10"/>
  <c r="W37" i="10"/>
  <c r="Q34" i="10"/>
  <c r="X34" i="10"/>
  <c r="AE34" i="10"/>
  <c r="AC37" i="10"/>
  <c r="Q37" i="10"/>
  <c r="S37" i="10"/>
  <c r="AC34" i="10"/>
  <c r="Y34" i="10"/>
  <c r="R34" i="10"/>
  <c r="P37" i="10"/>
  <c r="V34" i="10"/>
  <c r="T34" i="10"/>
  <c r="O37" i="10"/>
  <c r="AB34" i="10"/>
  <c r="AE37" i="10"/>
  <c r="O34" i="10"/>
  <c r="R37" i="10"/>
  <c r="AD34" i="10"/>
  <c r="AB37" i="10"/>
  <c r="V37" i="10"/>
  <c r="AA34" i="10"/>
  <c r="O28" i="10"/>
  <c r="N31" i="10"/>
  <c r="P28" i="10" l="1"/>
  <c r="O31" i="10"/>
  <c r="Q28" i="10" l="1"/>
  <c r="P31" i="10"/>
  <c r="R28" i="10" l="1"/>
  <c r="Q31" i="10"/>
  <c r="S28" i="10" l="1"/>
  <c r="R31" i="10"/>
  <c r="T28" i="10" l="1"/>
  <c r="S31" i="10"/>
  <c r="U28" i="10" l="1"/>
  <c r="T31" i="10"/>
  <c r="V28" i="10" l="1"/>
  <c r="U31" i="10"/>
  <c r="W28" i="10" l="1"/>
  <c r="V31" i="10"/>
  <c r="E8" i="5"/>
  <c r="E11" i="5"/>
  <c r="X28" i="10" l="1"/>
  <c r="W31" i="10"/>
  <c r="E12" i="5"/>
  <c r="E10" i="5"/>
  <c r="Y28" i="10" l="1"/>
  <c r="X31" i="10"/>
  <c r="Z28" i="10" l="1"/>
  <c r="Y31" i="10"/>
  <c r="AA28" i="10" l="1"/>
  <c r="Z31" i="10"/>
  <c r="AB28" i="10" l="1"/>
  <c r="AA31" i="10"/>
  <c r="AC28" i="10" l="1"/>
  <c r="AB31" i="10"/>
  <c r="AD28" i="10" l="1"/>
  <c r="AC31" i="10"/>
  <c r="AE28" i="10" l="1"/>
  <c r="AE31" i="10" s="1"/>
  <c r="AD31" i="10"/>
  <c r="E21" i="5"/>
  <c r="E19" i="5"/>
  <c r="E20" i="5"/>
  <c r="E18" i="5" l="1"/>
</calcChain>
</file>

<file path=xl/sharedStrings.xml><?xml version="1.0" encoding="utf-8"?>
<sst xmlns="http://schemas.openxmlformats.org/spreadsheetml/2006/main" count="401" uniqueCount="203">
  <si>
    <t>FLUX</t>
  </si>
  <si>
    <t>STOCK</t>
  </si>
  <si>
    <t>Taux</t>
  </si>
  <si>
    <t>Promoteur</t>
  </si>
  <si>
    <t>Secteur</t>
  </si>
  <si>
    <t>Date sortie attendue</t>
  </si>
  <si>
    <t>CA</t>
  </si>
  <si>
    <t>Marge brute</t>
  </si>
  <si>
    <t>EBITDA</t>
  </si>
  <si>
    <t>RN</t>
  </si>
  <si>
    <t>Actif</t>
  </si>
  <si>
    <t>Trésorerie</t>
  </si>
  <si>
    <t>Passif</t>
  </si>
  <si>
    <t>Fonds propres</t>
  </si>
  <si>
    <t>P&amp;L</t>
  </si>
  <si>
    <t>EQUITY</t>
  </si>
  <si>
    <t>Décaissement 1 : montant</t>
  </si>
  <si>
    <t>Décaissement 1 : date</t>
  </si>
  <si>
    <t>Année investissement</t>
  </si>
  <si>
    <t>Ville</t>
  </si>
  <si>
    <t>Stade de développement</t>
  </si>
  <si>
    <t>Autres impôts et taxes payés</t>
  </si>
  <si>
    <t>Actionnaires</t>
  </si>
  <si>
    <t>Pourcentage</t>
  </si>
  <si>
    <t>Année de création :</t>
  </si>
  <si>
    <t>Montant total investissement :</t>
  </si>
  <si>
    <t xml:space="preserve"> -  Pourcentage détention :</t>
  </si>
  <si>
    <t xml:space="preserve">Secteur d'activité : </t>
  </si>
  <si>
    <t xml:space="preserve"> - Nombre employés :</t>
  </si>
  <si>
    <t xml:space="preserve"> -  Année investissement :</t>
  </si>
  <si>
    <t xml:space="preserve"> -  Stade développement :</t>
  </si>
  <si>
    <t xml:space="preserve"> -  Localisation :</t>
  </si>
  <si>
    <t>ENTREPRENEUR</t>
  </si>
  <si>
    <t>RATIONNEL DE L'INVESTISSEMENT</t>
  </si>
  <si>
    <t>ESG &amp; IMPACT</t>
  </si>
  <si>
    <t>INVESTISSEMENT REALISE</t>
  </si>
  <si>
    <t>Capital</t>
  </si>
  <si>
    <t>Prêt</t>
  </si>
  <si>
    <t>Montant décaissé</t>
  </si>
  <si>
    <t>Montant engagé</t>
  </si>
  <si>
    <t>Restant à décaisser</t>
  </si>
  <si>
    <t>Revenus encaissés</t>
  </si>
  <si>
    <t>Arriérés</t>
  </si>
  <si>
    <t>Remboursements</t>
  </si>
  <si>
    <t>Valorisation</t>
  </si>
  <si>
    <t>Multiple</t>
  </si>
  <si>
    <t>Variation</t>
  </si>
  <si>
    <t xml:space="preserve">EBIT </t>
  </si>
  <si>
    <t>TOTAL</t>
  </si>
  <si>
    <t>Chiffre d'affaire</t>
  </si>
  <si>
    <t>Résultat Net</t>
  </si>
  <si>
    <t>BILAN</t>
  </si>
  <si>
    <t>Immobilisations</t>
  </si>
  <si>
    <t>Actif circulant</t>
  </si>
  <si>
    <t>Dettes long terme</t>
  </si>
  <si>
    <t>Dettes court terme</t>
  </si>
  <si>
    <t>TOTAL ACTIF</t>
  </si>
  <si>
    <t>TOTAL PASSIF</t>
  </si>
  <si>
    <t>COMPTE DE RESULTAT</t>
  </si>
  <si>
    <t>PERFORMANCE ET EVENEMENTS DU TRIMESTRE</t>
  </si>
  <si>
    <t>INDICATEURS DE PERFORMANCE</t>
  </si>
  <si>
    <t>EBITDA / CA</t>
  </si>
  <si>
    <t>Marge nette</t>
  </si>
  <si>
    <t>ROE</t>
  </si>
  <si>
    <t>Fonds propres / passif</t>
  </si>
  <si>
    <t>VALORISATION</t>
  </si>
  <si>
    <t>Méthode de valorisation à l'acquisition</t>
  </si>
  <si>
    <t>Méthode de valorisation du prêt</t>
  </si>
  <si>
    <t>Méthode de valorisation du capital à date</t>
  </si>
  <si>
    <t>Coût historique</t>
  </si>
  <si>
    <t>Stratégie de sortie</t>
  </si>
  <si>
    <t>TRI attendu</t>
  </si>
  <si>
    <t>Année création</t>
  </si>
  <si>
    <t>HISTORIQUE DE L'INVESTISSEMENT</t>
  </si>
  <si>
    <t>Année sortie</t>
  </si>
  <si>
    <t>APPUI DE SINERGI</t>
  </si>
  <si>
    <t>TRI sortie</t>
  </si>
  <si>
    <t>Multiple sortie</t>
  </si>
  <si>
    <t>Décaissement 2 : montant</t>
  </si>
  <si>
    <t>Décaissement 2 : date</t>
  </si>
  <si>
    <t>Décaissements</t>
  </si>
  <si>
    <t>Encaissement (remboursement du coût historique des actions)</t>
  </si>
  <si>
    <t>Encaissement (plus ou moins value sur les actions cédées)</t>
  </si>
  <si>
    <t>Revalorisations latentes</t>
  </si>
  <si>
    <t>% détention</t>
  </si>
  <si>
    <t>Capitalisation d'arriérés (intérêts et principal)</t>
  </si>
  <si>
    <t>Principal remboursé - facturé / prévisions</t>
  </si>
  <si>
    <t>Principal remboursé - encaissé</t>
  </si>
  <si>
    <t>Principal remboursé - converti / capitalisé</t>
  </si>
  <si>
    <t>Intérêts - facturé / prévisions</t>
  </si>
  <si>
    <t>Intérêts - encaissé</t>
  </si>
  <si>
    <t>Intérêts - converti / Capitalisé</t>
  </si>
  <si>
    <t>Encours comptable / prévision</t>
  </si>
  <si>
    <t>Encours - cash</t>
  </si>
  <si>
    <t>Valo - comptable</t>
  </si>
  <si>
    <t>Arriérés intérêts</t>
  </si>
  <si>
    <t>Arriérés principal</t>
  </si>
  <si>
    <t>Scénario sortie</t>
  </si>
  <si>
    <t>COMMENTAIRES ESG</t>
  </si>
  <si>
    <t xml:space="preserve">Conversion (de prêts, arriérés) </t>
  </si>
  <si>
    <t>Total décaissé</t>
  </si>
  <si>
    <t>Total remboursements capital</t>
  </si>
  <si>
    <t>Total plus-values encaissées</t>
  </si>
  <si>
    <t>Total Revalorisation</t>
  </si>
  <si>
    <t>Engagement</t>
  </si>
  <si>
    <t>Total engagé</t>
  </si>
  <si>
    <t>Autres revenus encaissés (dividendes, commission montage)</t>
  </si>
  <si>
    <t>Total Autres revenus encaissés</t>
  </si>
  <si>
    <t>Nom de l'entreprise</t>
  </si>
  <si>
    <t>Performance Financière</t>
  </si>
  <si>
    <t>Performance Organisationelle</t>
  </si>
  <si>
    <t>Notes internes</t>
  </si>
  <si>
    <t>Provision (-) /reprise (+)</t>
  </si>
  <si>
    <t>Moins-value constatée (-)</t>
  </si>
  <si>
    <t>Provision sur arriérés principal</t>
  </si>
  <si>
    <t>Provision sur arriérés intérêts</t>
  </si>
  <si>
    <t>Arriérés intérêts - valo</t>
  </si>
  <si>
    <t>Arriérés principal - valo</t>
  </si>
  <si>
    <t>Total reboursements</t>
  </si>
  <si>
    <t>Total intérêts</t>
  </si>
  <si>
    <t>Charges salariales</t>
  </si>
  <si>
    <t>Charges variables</t>
  </si>
  <si>
    <t>Fonctions support</t>
  </si>
  <si>
    <t>Frais generaux</t>
  </si>
  <si>
    <t>Frais due diligence</t>
  </si>
  <si>
    <t>PARAMETRES</t>
  </si>
  <si>
    <t>Investissement</t>
  </si>
  <si>
    <t>Prêt 1</t>
  </si>
  <si>
    <t>Décaissement 3 : montant</t>
  </si>
  <si>
    <t>Décaissement 3 : date</t>
  </si>
  <si>
    <t>Décaissement 4 : montant</t>
  </si>
  <si>
    <t>Décaissement 4 : date</t>
  </si>
  <si>
    <t>Décaissement 5 : montant</t>
  </si>
  <si>
    <t>Décaissement 5 : date</t>
  </si>
  <si>
    <t>Prêt 2</t>
  </si>
  <si>
    <t>Prêt 3</t>
  </si>
  <si>
    <t>Prêt 4</t>
  </si>
  <si>
    <t>Données impact à l'entrée ?</t>
  </si>
  <si>
    <t>Realise</t>
  </si>
  <si>
    <t>Theorique</t>
  </si>
  <si>
    <t>PRET</t>
  </si>
  <si>
    <t>PERFORMANCE</t>
  </si>
  <si>
    <t>IMPACT</t>
  </si>
  <si>
    <t>COUTS</t>
  </si>
  <si>
    <t>Emplois formels temps plein Hommes</t>
  </si>
  <si>
    <t>Emplois formels temps partiel Hommes</t>
  </si>
  <si>
    <t>Emplois informels temps plein Hommes</t>
  </si>
  <si>
    <t>Emplois informels temps partiel Hommes</t>
  </si>
  <si>
    <t>Emplois formels temps plein Femmes</t>
  </si>
  <si>
    <t>Emplois formels temps partiel Femmes</t>
  </si>
  <si>
    <t>Emplois informels temps plein Femmes</t>
  </si>
  <si>
    <t>Emplois informels temps partiel Femmes</t>
  </si>
  <si>
    <t>Emplois saisonniers</t>
  </si>
  <si>
    <t>Employés formalisés</t>
  </si>
  <si>
    <t>Employés à temps plein ayant quitté l'entreprise</t>
  </si>
  <si>
    <t>% d'employés faiblement qualifiés (approximation possible)</t>
  </si>
  <si>
    <t>% d'employés moyennement qualifiés (approximation possible)</t>
  </si>
  <si>
    <t>% d'employés très qualifiés (approximation possible)</t>
  </si>
  <si>
    <t>% de femmes parmi les employés très qualifiés</t>
  </si>
  <si>
    <t>% d'employés qui ont moins de 25 ans</t>
  </si>
  <si>
    <t>Nombre d'employés formés</t>
  </si>
  <si>
    <t>Coûts formation</t>
  </si>
  <si>
    <t>Masse salariale annuelle brute</t>
  </si>
  <si>
    <t>Salaire net minimum en vigueur dans le pays</t>
  </si>
  <si>
    <t>Salaire net minimum d'un employé formel</t>
  </si>
  <si>
    <t>Employés affiliés caisse de sécurité sociale</t>
  </si>
  <si>
    <t>Employés disposant assurance/mutuelle santé privée</t>
  </si>
  <si>
    <t>Nombre accidents du travail</t>
  </si>
  <si>
    <t>Quantité achetées</t>
  </si>
  <si>
    <t>Nombre petits fournisseurs</t>
  </si>
  <si>
    <t>Nombre petits distributeurs</t>
  </si>
  <si>
    <t>Nombre clients finaux</t>
  </si>
  <si>
    <t>Nombre bénéficiaires programme accompagnement</t>
  </si>
  <si>
    <t>Chiffre d'affaires de l'exercice</t>
  </si>
  <si>
    <t>% des ventes à l'export (approximativement)</t>
  </si>
  <si>
    <t>Valeur ajoutée de l'exercice</t>
  </si>
  <si>
    <t xml:space="preserve">Impôt sur le résultat payé </t>
  </si>
  <si>
    <t>TVA payée (= TVA collectée - TVA déductible)</t>
  </si>
  <si>
    <t xml:space="preserve">Charges patronales payées </t>
  </si>
  <si>
    <t xml:space="preserve">Montants levés en dette </t>
  </si>
  <si>
    <t xml:space="preserve">Montants levés en fonds </t>
  </si>
  <si>
    <t xml:space="preserve">Montants de subventions d'exploitation/investissement obtenues </t>
  </si>
  <si>
    <t xml:space="preserve">Montants de subventions d'assistance technique obtenues </t>
  </si>
  <si>
    <t>Nombre CA</t>
  </si>
  <si>
    <t>Nombre personnes comité direction</t>
  </si>
  <si>
    <t>Nombre femmes comité direction</t>
  </si>
  <si>
    <t>Nombre personnes CA</t>
  </si>
  <si>
    <t>Nombre femmes CA</t>
  </si>
  <si>
    <t>% Membres indépendants CA</t>
  </si>
  <si>
    <t>Employés</t>
  </si>
  <si>
    <t>Formalisation</t>
  </si>
  <si>
    <t>Turn-over</t>
  </si>
  <si>
    <t>Qualification</t>
  </si>
  <si>
    <t>Formation</t>
  </si>
  <si>
    <t>Rémunération</t>
  </si>
  <si>
    <t>Sécurité Sociale</t>
  </si>
  <si>
    <t>Clients Fournisseurs</t>
  </si>
  <si>
    <t>Etat</t>
  </si>
  <si>
    <t>Investisseurs</t>
  </si>
  <si>
    <t>Gouvernance</t>
  </si>
  <si>
    <t>Taux variable</t>
  </si>
  <si>
    <t>EBE</t>
  </si>
  <si>
    <t>Nombres emplois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</si>
</sst>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[$-809]dd\ mmmm\ yyyy;@"/>
    <numFmt numFmtId="165" formatCode="_(* #,##0.00_);_(* \(#,##0.00\);_(* &quot;-&quot;??_);_(@_)"/>
    <numFmt numFmtId="166" formatCode="_(* #,##0_);_(* \(#,##0\);_(* &quot;-&quot;??_);_(@_)"/>
    <numFmt numFmtId="167" formatCode="#,##0\ &quot;€&quot;"/>
    <numFmt numFmtId="168" formatCode="_-* #,##0\ _€_-;\-* #,##0\ _€_-;_-* &quot;-&quot;??\ _€_-;_-@_-"/>
    <numFmt numFmtId="169" formatCode="_-* #,##0.0\ _€_-;\-* #,##0.0\ _€_-;_-* &quot;-&quot;??\ _€_-;_-@_-"/>
    <numFmt numFmtId="173" formatCode="_-* #,##0.00\ _€_-;\-* #,##0.00\ _€_-;_-* &quot;-&quot;??\ _€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9"/>
      <name val="Calibri"/>
      <family val="2"/>
      <scheme val="minor"/>
    </font>
    <font>
      <b/>
      <sz val="9"/>
      <color theme="8" tint="-0.249977111117893"/>
      <name val="Calibri"/>
      <family val="2"/>
      <scheme val="minor"/>
    </font>
    <font>
      <b/>
      <sz val="12"/>
      <color rgb="FF8E342D"/>
      <name val="Calibri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rgb="FFD0736C"/>
      <name val="Calibri"/>
      <family val="2"/>
    </font>
    <font>
      <b/>
      <sz val="22"/>
      <color rgb="FF5D494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4" tint="-0.24997711111789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4" fillId="0" borderId="0"/>
    <xf numFmtId="0" fontId="3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2" xfId="0" applyBorder="1"/>
    <xf numFmtId="0" fontId="0" fillId="0" borderId="2" xfId="0" applyFill="1" applyBorder="1"/>
    <xf numFmtId="0" fontId="5" fillId="0" borderId="0" xfId="0" applyFont="1"/>
    <xf numFmtId="0" fontId="0" fillId="5" borderId="0" xfId="0" applyFill="1"/>
    <xf numFmtId="0" fontId="13" fillId="5" borderId="0" xfId="0" applyFont="1" applyFill="1"/>
    <xf numFmtId="9" fontId="14" fillId="5" borderId="0" xfId="9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13" fillId="5" borderId="0" xfId="0" applyFont="1" applyFill="1" applyAlignment="1">
      <alignment horizontal="left"/>
    </xf>
    <xf numFmtId="0" fontId="13" fillId="5" borderId="0" xfId="0" quotePrefix="1" applyFont="1" applyFill="1" applyAlignment="1">
      <alignment horizontal="left"/>
    </xf>
    <xf numFmtId="9" fontId="0" fillId="0" borderId="0" xfId="9" applyFont="1"/>
    <xf numFmtId="0" fontId="0" fillId="4" borderId="0" xfId="0" applyFill="1"/>
    <xf numFmtId="0" fontId="10" fillId="4" borderId="0" xfId="0" applyFont="1" applyFill="1" applyAlignment="1">
      <alignment vertical="center" wrapText="1"/>
    </xf>
    <xf numFmtId="0" fontId="15" fillId="5" borderId="0" xfId="0" applyFont="1" applyFill="1" applyAlignment="1">
      <alignment vertical="center"/>
    </xf>
    <xf numFmtId="0" fontId="0" fillId="5" borderId="0" xfId="0" applyFill="1" applyAlignment="1"/>
    <xf numFmtId="168" fontId="2" fillId="5" borderId="0" xfId="13" applyNumberFormat="1" applyFont="1" applyFill="1" applyBorder="1" applyAlignment="1">
      <alignment horizontal="right"/>
    </xf>
    <xf numFmtId="0" fontId="6" fillId="5" borderId="0" xfId="10" applyFont="1" applyFill="1" applyBorder="1"/>
    <xf numFmtId="9" fontId="2" fillId="5" borderId="0" xfId="14" applyFont="1" applyFill="1" applyBorder="1" applyAlignment="1">
      <alignment horizontal="right"/>
    </xf>
    <xf numFmtId="9" fontId="0" fillId="5" borderId="0" xfId="14" applyFont="1" applyFill="1"/>
    <xf numFmtId="0" fontId="11" fillId="5" borderId="0" xfId="10" applyFont="1" applyFill="1" applyBorder="1" applyAlignment="1">
      <alignment vertical="center"/>
    </xf>
    <xf numFmtId="168" fontId="12" fillId="5" borderId="9" xfId="13" applyNumberFormat="1" applyFont="1" applyFill="1" applyBorder="1" applyAlignment="1">
      <alignment horizontal="right"/>
    </xf>
    <xf numFmtId="168" fontId="12" fillId="5" borderId="10" xfId="13" applyNumberFormat="1" applyFont="1" applyFill="1" applyBorder="1" applyAlignment="1">
      <alignment horizontal="right"/>
    </xf>
    <xf numFmtId="169" fontId="12" fillId="5" borderId="11" xfId="13" applyNumberFormat="1" applyFont="1" applyFill="1" applyBorder="1" applyAlignment="1">
      <alignment horizontal="right"/>
    </xf>
    <xf numFmtId="168" fontId="12" fillId="5" borderId="8" xfId="13" applyNumberFormat="1" applyFont="1" applyFill="1" applyBorder="1" applyAlignment="1">
      <alignment horizontal="right"/>
    </xf>
    <xf numFmtId="168" fontId="12" fillId="5" borderId="1" xfId="13" applyNumberFormat="1" applyFont="1" applyFill="1" applyBorder="1" applyAlignment="1">
      <alignment horizontal="right"/>
    </xf>
    <xf numFmtId="169" fontId="12" fillId="5" borderId="5" xfId="13" applyNumberFormat="1" applyFont="1" applyFill="1" applyBorder="1" applyAlignment="1">
      <alignment horizontal="right"/>
    </xf>
    <xf numFmtId="14" fontId="17" fillId="3" borderId="6" xfId="0" applyNumberFormat="1" applyFont="1" applyFill="1" applyBorder="1" applyAlignment="1">
      <alignment horizontal="center" vertical="center"/>
    </xf>
    <xf numFmtId="14" fontId="17" fillId="3" borderId="7" xfId="0" applyNumberFormat="1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168" fontId="12" fillId="0" borderId="4" xfId="13" applyNumberFormat="1" applyFont="1" applyBorder="1" applyAlignment="1">
      <alignment vertical="center"/>
    </xf>
    <xf numFmtId="9" fontId="12" fillId="0" borderId="4" xfId="14" applyFont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168" fontId="19" fillId="7" borderId="4" xfId="13" applyNumberFormat="1" applyFont="1" applyFill="1" applyBorder="1" applyAlignment="1">
      <alignment vertical="center"/>
    </xf>
    <xf numFmtId="9" fontId="19" fillId="7" borderId="4" xfId="14" applyFont="1" applyFill="1" applyBorder="1" applyAlignment="1">
      <alignment horizontal="center" vertical="center"/>
    </xf>
    <xf numFmtId="14" fontId="19" fillId="3" borderId="4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9" fontId="7" fillId="0" borderId="4" xfId="14" applyFont="1" applyFill="1" applyBorder="1" applyAlignment="1">
      <alignment horizontal="center" vertical="center"/>
    </xf>
    <xf numFmtId="0" fontId="20" fillId="5" borderId="0" xfId="0" applyFont="1" applyFill="1"/>
    <xf numFmtId="0" fontId="9" fillId="5" borderId="0" xfId="0" applyFont="1" applyFill="1"/>
    <xf numFmtId="0" fontId="15" fillId="5" borderId="0" xfId="0" applyFont="1" applyFill="1" applyBorder="1" applyAlignment="1">
      <alignment horizontal="center" vertical="center"/>
    </xf>
    <xf numFmtId="0" fontId="0" fillId="5" borderId="12" xfId="0" applyFill="1" applyBorder="1"/>
    <xf numFmtId="3" fontId="14" fillId="5" borderId="0" xfId="1" applyNumberFormat="1" applyFont="1" applyFill="1" applyAlignment="1">
      <alignment horizontal="left"/>
    </xf>
    <xf numFmtId="0" fontId="10" fillId="5" borderId="0" xfId="0" applyFont="1" applyFill="1" applyBorder="1" applyAlignment="1">
      <alignment horizontal="left" vertical="top"/>
    </xf>
    <xf numFmtId="0" fontId="10" fillId="5" borderId="0" xfId="0" applyFont="1" applyFill="1" applyBorder="1" applyAlignment="1">
      <alignment vertical="top" wrapText="1"/>
    </xf>
    <xf numFmtId="0" fontId="10" fillId="5" borderId="0" xfId="0" applyFont="1" applyFill="1" applyBorder="1" applyAlignment="1">
      <alignment vertical="top"/>
    </xf>
    <xf numFmtId="14" fontId="0" fillId="0" borderId="0" xfId="0" applyNumberFormat="1"/>
    <xf numFmtId="9" fontId="0" fillId="5" borderId="0" xfId="0" applyNumberFormat="1" applyFill="1" applyAlignment="1">
      <alignment horizontal="left"/>
    </xf>
    <xf numFmtId="0" fontId="9" fillId="5" borderId="0" xfId="0" applyFont="1" applyFill="1" applyAlignment="1">
      <alignment horizontal="left"/>
    </xf>
    <xf numFmtId="0" fontId="10" fillId="5" borderId="0" xfId="0" applyFont="1" applyFill="1" applyAlignment="1">
      <alignment vertical="top" wrapText="1"/>
    </xf>
    <xf numFmtId="0" fontId="0" fillId="4" borderId="0" xfId="0" applyFill="1" applyBorder="1"/>
    <xf numFmtId="0" fontId="10" fillId="4" borderId="0" xfId="0" applyFont="1" applyFill="1" applyBorder="1" applyAlignment="1">
      <alignment vertical="center" wrapText="1"/>
    </xf>
    <xf numFmtId="0" fontId="0" fillId="5" borderId="0" xfId="0" applyFill="1" applyBorder="1"/>
    <xf numFmtId="0" fontId="21" fillId="5" borderId="0" xfId="10" applyFont="1" applyFill="1" applyAlignment="1"/>
    <xf numFmtId="166" fontId="0" fillId="8" borderId="0" xfId="1" applyNumberFormat="1" applyFont="1" applyFill="1" applyBorder="1"/>
    <xf numFmtId="166" fontId="0" fillId="8" borderId="3" xfId="1" applyNumberFormat="1" applyFont="1" applyFill="1" applyBorder="1"/>
    <xf numFmtId="0" fontId="0" fillId="9" borderId="2" xfId="0" applyFill="1" applyBorder="1"/>
    <xf numFmtId="0" fontId="5" fillId="6" borderId="16" xfId="0" applyFont="1" applyFill="1" applyBorder="1"/>
    <xf numFmtId="0" fontId="5" fillId="6" borderId="17" xfId="0" applyFont="1" applyFill="1" applyBorder="1"/>
    <xf numFmtId="0" fontId="5" fillId="6" borderId="18" xfId="0" applyFont="1" applyFill="1" applyBorder="1"/>
    <xf numFmtId="9" fontId="0" fillId="6" borderId="13" xfId="9" applyFont="1" applyFill="1" applyBorder="1" applyAlignment="1">
      <alignment horizontal="right"/>
    </xf>
    <xf numFmtId="166" fontId="0" fillId="6" borderId="14" xfId="1" applyNumberFormat="1" applyFont="1" applyFill="1" applyBorder="1" applyAlignment="1">
      <alignment horizontal="right"/>
    </xf>
    <xf numFmtId="14" fontId="0" fillId="6" borderId="14" xfId="0" applyNumberFormat="1" applyFill="1" applyBorder="1" applyAlignment="1">
      <alignment horizontal="right"/>
    </xf>
    <xf numFmtId="14" fontId="0" fillId="6" borderId="15" xfId="0" applyNumberFormat="1" applyFill="1" applyBorder="1" applyAlignment="1">
      <alignment horizontal="right"/>
    </xf>
    <xf numFmtId="166" fontId="0" fillId="0" borderId="0" xfId="0" applyNumberFormat="1"/>
    <xf numFmtId="14" fontId="5" fillId="2" borderId="2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4" fontId="5" fillId="6" borderId="19" xfId="0" applyNumberFormat="1" applyFont="1" applyFill="1" applyBorder="1" applyAlignment="1">
      <alignment vertical="center"/>
    </xf>
    <xf numFmtId="14" fontId="5" fillId="6" borderId="21" xfId="0" applyNumberFormat="1" applyFont="1" applyFill="1" applyBorder="1" applyAlignment="1">
      <alignment vertical="center"/>
    </xf>
    <xf numFmtId="14" fontId="5" fillId="6" borderId="22" xfId="0" applyNumberFormat="1" applyFont="1" applyFill="1" applyBorder="1" applyAlignment="1">
      <alignment vertical="center"/>
    </xf>
    <xf numFmtId="0" fontId="5" fillId="6" borderId="19" xfId="0" applyFont="1" applyFill="1" applyBorder="1" applyAlignment="1">
      <alignment horizontal="left"/>
    </xf>
    <xf numFmtId="0" fontId="5" fillId="6" borderId="20" xfId="0" applyFont="1" applyFill="1" applyBorder="1" applyAlignment="1">
      <alignment horizontal="left"/>
    </xf>
    <xf numFmtId="0" fontId="0" fillId="6" borderId="13" xfId="0" applyFill="1" applyBorder="1" applyAlignment="1">
      <alignment horizontal="left"/>
    </xf>
    <xf numFmtId="0" fontId="0" fillId="6" borderId="14" xfId="0" applyFill="1" applyBorder="1" applyAlignment="1">
      <alignment horizontal="left"/>
    </xf>
    <xf numFmtId="9" fontId="0" fillId="6" borderId="15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9" fontId="0" fillId="8" borderId="0" xfId="0" applyNumberFormat="1" applyFill="1"/>
    <xf numFmtId="0" fontId="0" fillId="11" borderId="2" xfId="0" applyFill="1" applyBorder="1"/>
    <xf numFmtId="166" fontId="0" fillId="10" borderId="0" xfId="0" applyNumberFormat="1" applyFill="1"/>
    <xf numFmtId="0" fontId="5" fillId="6" borderId="0" xfId="0" applyFont="1" applyFill="1" applyBorder="1"/>
    <xf numFmtId="0" fontId="0" fillId="9" borderId="0" xfId="0" applyFill="1" applyBorder="1"/>
    <xf numFmtId="0" fontId="5" fillId="6" borderId="20" xfId="0" applyFont="1" applyFill="1" applyBorder="1" applyAlignment="1">
      <alignment horizontal="center"/>
    </xf>
    <xf numFmtId="166" fontId="0" fillId="8" borderId="0" xfId="1" applyNumberFormat="1" applyFont="1" applyFill="1"/>
    <xf numFmtId="166" fontId="0" fillId="0" borderId="0" xfId="1" applyNumberFormat="1" applyFont="1"/>
    <xf numFmtId="166" fontId="0" fillId="10" borderId="0" xfId="1" applyNumberFormat="1" applyFont="1" applyFill="1"/>
    <xf numFmtId="0" fontId="0" fillId="0" borderId="0" xfId="0" applyProtection="1"/>
    <xf numFmtId="166" fontId="0" fillId="0" borderId="0" xfId="1" applyNumberFormat="1" applyFont="1" applyFill="1" applyBorder="1"/>
    <xf numFmtId="166" fontId="0" fillId="0" borderId="3" xfId="1" applyNumberFormat="1" applyFont="1" applyFill="1" applyBorder="1"/>
    <xf numFmtId="0" fontId="0" fillId="0" borderId="0" xfId="0" applyFill="1"/>
    <xf numFmtId="0" fontId="0" fillId="8" borderId="0" xfId="0" applyFill="1"/>
    <xf numFmtId="0" fontId="0" fillId="12" borderId="2" xfId="0" applyFill="1" applyBorder="1"/>
    <xf numFmtId="9" fontId="0" fillId="8" borderId="3" xfId="9" applyFont="1" applyFill="1" applyBorder="1"/>
    <xf numFmtId="9" fontId="0" fillId="6" borderId="14" xfId="9" applyFont="1" applyFill="1" applyBorder="1" applyAlignment="1">
      <alignment horizontal="right"/>
    </xf>
    <xf numFmtId="0" fontId="15" fillId="5" borderId="1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vertical="top" wrapText="1"/>
    </xf>
    <xf numFmtId="0" fontId="14" fillId="5" borderId="0" xfId="0" applyFont="1" applyFill="1" applyAlignment="1">
      <alignment horizontal="left"/>
    </xf>
    <xf numFmtId="0" fontId="15" fillId="5" borderId="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10" fillId="5" borderId="0" xfId="0" applyFont="1" applyFill="1" applyBorder="1" applyAlignment="1">
      <alignment horizontal="left" vertical="top" wrapText="1"/>
    </xf>
    <xf numFmtId="2" fontId="8" fillId="0" borderId="4" xfId="14" applyNumberFormat="1" applyFont="1" applyBorder="1" applyAlignment="1">
      <alignment horizontal="center" vertical="center"/>
    </xf>
    <xf numFmtId="9" fontId="8" fillId="0" borderId="4" xfId="9" applyFont="1" applyBorder="1" applyAlignment="1">
      <alignment horizontal="center" vertical="center"/>
    </xf>
    <xf numFmtId="166" fontId="0" fillId="10" borderId="0" xfId="1" applyNumberFormat="1" applyFont="1" applyFill="1" applyBorder="1"/>
    <xf numFmtId="1" fontId="14" fillId="5" borderId="0" xfId="1" applyNumberFormat="1" applyFont="1" applyFill="1" applyAlignment="1">
      <alignment horizontal="left"/>
    </xf>
  </cellXfs>
  <cellStyles count="18">
    <cellStyle name="Euro" xfId="2"/>
    <cellStyle name="Milliers" xfId="1" builtinId="3"/>
    <cellStyle name="Milliers 2" xfId="3"/>
    <cellStyle name="Milliers 3" xfId="4"/>
    <cellStyle name="Milliers 4" xfId="5"/>
    <cellStyle name="Milliers 5" xfId="13"/>
    <cellStyle name="Milliers 6" xfId="17"/>
    <cellStyle name="Monétaire 2" xfId="15"/>
    <cellStyle name="Normal" xfId="0" builtinId="0"/>
    <cellStyle name="Normal 2" xfId="6"/>
    <cellStyle name="Normal 2 2" xfId="11"/>
    <cellStyle name="Normal 3" xfId="7"/>
    <cellStyle name="Normal 3 2" xfId="12"/>
    <cellStyle name="Normal 4" xfId="10"/>
    <cellStyle name="Normal 5" xfId="16"/>
    <cellStyle name="Pourcentage" xfId="9" builtinId="5"/>
    <cellStyle name="Pourcentage 2" xfId="8"/>
    <cellStyle name="Pourcentage 3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347828143103733"/>
          <c:y val="8.1774934383202116E-2"/>
          <c:w val="0.63861459885081928"/>
          <c:h val="0.9182250656167979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-0.18599503897240119"/>
                  <c:y val="0.1684431449745252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225225225225222"/>
                      <c:h val="0.40767543859649125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4.3918918918918991E-2"/>
                  <c:y val="-0.129142492056914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0717460033404901E-2"/>
                  <c:y val="-2.903060830631465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06306306306304"/>
                      <c:h val="0.25915613344384586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7.0436401415732125E-2"/>
                  <c:y val="-0.176628840512582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99399399399399"/>
                      <c:h val="0.31398069484735458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-3.8513580688777561E-2"/>
                  <c:y val="6.8357752749251103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'Fiche entreprise p.1'!$S$11:$S$16</c:f>
              <c:numCache>
                <c:formatCode>General</c:formatCode>
                <c:ptCount val="6"/>
              </c:numCache>
            </c:numRef>
          </c:cat>
          <c:val>
            <c:numRef>
              <c:f>'Fiche entreprise p.1'!$T$11:$T$16</c:f>
              <c:numCache>
                <c:formatCode>0%</c:formatCode>
                <c:ptCount val="6"/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'Fiche entreprise p.2'!$B$5</c:f>
              <c:strCache>
                <c:ptCount val="1"/>
                <c:pt idx="0">
                  <c:v>Montant décaissé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('Fiche entreprise p.2'!$B$5,'Fiche entreprise p.2'!$B$8)</c:f>
              <c:strCache>
                <c:ptCount val="2"/>
                <c:pt idx="0">
                  <c:v>Montant décaissé</c:v>
                </c:pt>
                <c:pt idx="1">
                  <c:v>Revenus encaissés</c:v>
                </c:pt>
              </c:strCache>
            </c:strRef>
          </c:cat>
          <c:val>
            <c:numRef>
              <c:f>'Fiche entreprise p.2'!$E$5</c:f>
              <c:numCache>
                <c:formatCode>_-* #\ ##0\ _€_-;\-* #\ ##0\ _€_-;_-* "-"??\ _€_-;_-@_-</c:formatCode>
                <c:ptCount val="1"/>
                <c:pt idx="0">
                  <c:v>0</c:v>
                </c:pt>
              </c:numCache>
            </c:numRef>
          </c:val>
          <c:extLst/>
        </c:ser>
        <c:ser>
          <c:idx val="1"/>
          <c:order val="1"/>
          <c:tx>
            <c:strRef>
              <c:f>'Fiche entreprise p.2'!$B$8</c:f>
              <c:strCache>
                <c:ptCount val="1"/>
                <c:pt idx="0">
                  <c:v>Revenus encaissés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('Fiche entreprise p.2'!$B$5,'Fiche entreprise p.2'!$B$8)</c:f>
              <c:strCache>
                <c:ptCount val="2"/>
                <c:pt idx="0">
                  <c:v>Montant décaissé</c:v>
                </c:pt>
                <c:pt idx="1">
                  <c:v>Revenus encaissés</c:v>
                </c:pt>
              </c:strCache>
            </c:strRef>
          </c:cat>
          <c:val>
            <c:numRef>
              <c:f>'Fiche entreprise p.2'!$E$8</c:f>
              <c:numCache>
                <c:formatCode>_-* #\ ##0\ _€_-;\-* #\ ##0\ _€_-;_-* "-"??\ _€_-;_-@_-</c:formatCode>
                <c:ptCount val="1"/>
                <c:pt idx="0">
                  <c:v>0</c:v>
                </c:pt>
              </c:numCache>
            </c:numRef>
          </c:val>
          <c:extLst/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121472"/>
        <c:axId val="227120688"/>
      </c:barChart>
      <c:catAx>
        <c:axId val="22712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7120688"/>
        <c:crosses val="autoZero"/>
        <c:auto val="0"/>
        <c:lblAlgn val="ctr"/>
        <c:lblOffset val="100"/>
        <c:noMultiLvlLbl val="0"/>
      </c:catAx>
      <c:valAx>
        <c:axId val="22712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7121472"/>
        <c:crosses val="autoZero"/>
        <c:crossBetween val="between"/>
        <c:dispUnits>
          <c:builtInUnit val="m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8</xdr:row>
      <xdr:rowOff>54429</xdr:rowOff>
    </xdr:from>
    <xdr:to>
      <xdr:col>15</xdr:col>
      <xdr:colOff>696686</xdr:colOff>
      <xdr:row>16</xdr:row>
      <xdr:rowOff>1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170331</xdr:colOff>
      <xdr:row>9</xdr:row>
      <xdr:rowOff>35858</xdr:rowOff>
    </xdr:from>
    <xdr:to>
      <xdr:col>3</xdr:col>
      <xdr:colOff>347384</xdr:colOff>
      <xdr:row>15</xdr:row>
      <xdr:rowOff>143436</xdr:rowOff>
    </xdr:to>
    <xdr:pic>
      <xdr:nvPicPr>
        <xdr:cNvPr id="2" name="Image 1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54" b="26291"/>
        <a:stretch/>
      </xdr:blipFill>
      <xdr:spPr>
        <a:xfrm>
          <a:off x="340660" y="1416423"/>
          <a:ext cx="1432112" cy="1129554"/>
        </a:xfrm>
        <a:prstGeom prst="rect">
          <a:avLst/>
        </a:prstGeom>
      </xdr:spPr>
    </xdr:pic>
    <xdr:clientData/>
  </xdr:twoCellAnchor>
  <xdr:twoCellAnchor editAs="oneCell">
    <xdr:from>
      <xdr:col>11</xdr:col>
      <xdr:colOff>763148</xdr:colOff>
      <xdr:row>17</xdr:row>
      <xdr:rowOff>124123</xdr:rowOff>
    </xdr:from>
    <xdr:to>
      <xdr:col>15</xdr:col>
      <xdr:colOff>591671</xdr:colOff>
      <xdr:row>31</xdr:row>
      <xdr:rowOff>67232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7783" y="2777676"/>
          <a:ext cx="3055817" cy="22918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478970</xdr:colOff>
      <xdr:row>29</xdr:row>
      <xdr:rowOff>21773</xdr:rowOff>
    </xdr:from>
    <xdr:to>
      <xdr:col>14</xdr:col>
      <xdr:colOff>10884</xdr:colOff>
      <xdr:row>43</xdr:row>
      <xdr:rowOff>97972</xdr:rowOff>
    </xdr:to>
    <xdr:sp macro="" textlink="">
      <xdr:nvSpPr>
        <xdr:cNvPr id="4" name="ZoneTexte 3"/>
        <xdr:cNvSpPr txBox="1"/>
      </xdr:nvSpPr>
      <xdr:spPr>
        <a:xfrm>
          <a:off x="5072741" y="5105402"/>
          <a:ext cx="5932714" cy="2460170"/>
        </a:xfrm>
        <a:prstGeom prst="roundRect">
          <a:avLst>
            <a:gd name="adj" fmla="val 9337"/>
          </a:avLst>
        </a:prstGeom>
        <a:solidFill>
          <a:schemeClr val="accent2">
            <a:lumMod val="20000"/>
            <a:lumOff val="8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>
            <a:latin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707571</xdr:colOff>
      <xdr:row>2</xdr:row>
      <xdr:rowOff>141513</xdr:rowOff>
    </xdr:from>
    <xdr:to>
      <xdr:col>13</xdr:col>
      <xdr:colOff>326571</xdr:colOff>
      <xdr:row>11</xdr:row>
      <xdr:rowOff>130629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I&amp;P - Thème Excel">
  <a:themeElements>
    <a:clrScheme name="I&amp;P">
      <a:dk1>
        <a:sysClr val="windowText" lastClr="000000"/>
      </a:dk1>
      <a:lt1>
        <a:sysClr val="window" lastClr="FFFFFF"/>
      </a:lt1>
      <a:dk2>
        <a:srgbClr val="5D494F"/>
      </a:dk2>
      <a:lt2>
        <a:srgbClr val="AB815F"/>
      </a:lt2>
      <a:accent1>
        <a:srgbClr val="8E342D"/>
      </a:accent1>
      <a:accent2>
        <a:srgbClr val="A98C4C"/>
      </a:accent2>
      <a:accent3>
        <a:srgbClr val="733317"/>
      </a:accent3>
      <a:accent4>
        <a:srgbClr val="EA9440"/>
      </a:accent4>
      <a:accent5>
        <a:srgbClr val="749DC1"/>
      </a:accent5>
      <a:accent6>
        <a:srgbClr val="532609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B71"/>
  <sheetViews>
    <sheetView workbookViewId="0">
      <selection activeCell="B31" sqref="B31:B37"/>
    </sheetView>
  </sheetViews>
  <sheetFormatPr baseColWidth="10" defaultRowHeight="13.2" x14ac:dyDescent="0.25"/>
  <cols>
    <col min="1" max="1" width="34.6640625" bestFit="1" customWidth="1"/>
    <col min="2" max="2" width="47.21875" bestFit="1" customWidth="1"/>
  </cols>
  <sheetData>
    <row r="1" spans="1:2" ht="13.8" thickBot="1" x14ac:dyDescent="0.3">
      <c r="A1" s="74" t="s">
        <v>126</v>
      </c>
      <c r="B1" s="75"/>
    </row>
    <row r="2" spans="1:2" x14ac:dyDescent="0.25">
      <c r="A2" s="61" t="s">
        <v>108</v>
      </c>
      <c r="B2" s="76"/>
    </row>
    <row r="3" spans="1:2" x14ac:dyDescent="0.25">
      <c r="A3" s="62" t="s">
        <v>3</v>
      </c>
      <c r="B3" s="77"/>
    </row>
    <row r="4" spans="1:2" x14ac:dyDescent="0.25">
      <c r="A4" s="62" t="s">
        <v>72</v>
      </c>
      <c r="B4" s="77"/>
    </row>
    <row r="5" spans="1:2" x14ac:dyDescent="0.25">
      <c r="A5" s="62" t="s">
        <v>4</v>
      </c>
      <c r="B5" s="77"/>
    </row>
    <row r="6" spans="1:2" x14ac:dyDescent="0.25">
      <c r="A6" s="62" t="s">
        <v>19</v>
      </c>
      <c r="B6" s="77"/>
    </row>
    <row r="7" spans="1:2" x14ac:dyDescent="0.25">
      <c r="A7" s="62" t="s">
        <v>20</v>
      </c>
      <c r="B7" s="77"/>
    </row>
    <row r="8" spans="1:2" x14ac:dyDescent="0.25">
      <c r="A8" s="62" t="s">
        <v>18</v>
      </c>
      <c r="B8" s="77"/>
    </row>
    <row r="9" spans="1:2" x14ac:dyDescent="0.25">
      <c r="A9" s="62" t="s">
        <v>66</v>
      </c>
      <c r="B9" s="77"/>
    </row>
    <row r="10" spans="1:2" x14ac:dyDescent="0.25">
      <c r="A10" s="62" t="s">
        <v>5</v>
      </c>
      <c r="B10" s="77"/>
    </row>
    <row r="11" spans="1:2" x14ac:dyDescent="0.25">
      <c r="A11" s="62" t="s">
        <v>77</v>
      </c>
      <c r="B11" s="77"/>
    </row>
    <row r="12" spans="1:2" x14ac:dyDescent="0.25">
      <c r="A12" s="62" t="s">
        <v>97</v>
      </c>
      <c r="B12" s="77"/>
    </row>
    <row r="13" spans="1:2" ht="13.8" thickBot="1" x14ac:dyDescent="0.3">
      <c r="A13" s="63" t="s">
        <v>76</v>
      </c>
      <c r="B13" s="78"/>
    </row>
    <row r="14" spans="1:2" ht="13.8" thickBot="1" x14ac:dyDescent="0.3">
      <c r="A14" s="79"/>
    </row>
    <row r="15" spans="1:2" ht="13.8" thickBot="1" x14ac:dyDescent="0.3">
      <c r="A15" s="74" t="s">
        <v>127</v>
      </c>
      <c r="B15" s="85"/>
    </row>
    <row r="16" spans="1:2" x14ac:dyDescent="0.25">
      <c r="A16" s="61" t="s">
        <v>2</v>
      </c>
      <c r="B16" s="64"/>
    </row>
    <row r="17" spans="1:2" x14ac:dyDescent="0.25">
      <c r="A17" s="62" t="s">
        <v>200</v>
      </c>
      <c r="B17" s="96"/>
    </row>
    <row r="18" spans="1:2" x14ac:dyDescent="0.25">
      <c r="A18" s="62" t="s">
        <v>16</v>
      </c>
      <c r="B18" s="65"/>
    </row>
    <row r="19" spans="1:2" x14ac:dyDescent="0.25">
      <c r="A19" s="62" t="s">
        <v>17</v>
      </c>
      <c r="B19" s="66"/>
    </row>
    <row r="20" spans="1:2" x14ac:dyDescent="0.25">
      <c r="A20" s="62" t="s">
        <v>78</v>
      </c>
      <c r="B20" s="65"/>
    </row>
    <row r="21" spans="1:2" x14ac:dyDescent="0.25">
      <c r="A21" s="62" t="s">
        <v>79</v>
      </c>
      <c r="B21" s="66"/>
    </row>
    <row r="22" spans="1:2" x14ac:dyDescent="0.25">
      <c r="A22" s="62" t="s">
        <v>128</v>
      </c>
      <c r="B22" s="65"/>
    </row>
    <row r="23" spans="1:2" x14ac:dyDescent="0.25">
      <c r="A23" s="62" t="s">
        <v>129</v>
      </c>
      <c r="B23" s="66"/>
    </row>
    <row r="24" spans="1:2" x14ac:dyDescent="0.25">
      <c r="A24" s="62" t="s">
        <v>130</v>
      </c>
      <c r="B24" s="65"/>
    </row>
    <row r="25" spans="1:2" x14ac:dyDescent="0.25">
      <c r="A25" s="62" t="s">
        <v>131</v>
      </c>
      <c r="B25" s="66"/>
    </row>
    <row r="26" spans="1:2" x14ac:dyDescent="0.25">
      <c r="A26" s="62" t="s">
        <v>132</v>
      </c>
      <c r="B26" s="65"/>
    </row>
    <row r="27" spans="1:2" ht="13.8" thickBot="1" x14ac:dyDescent="0.3">
      <c r="A27" s="63" t="s">
        <v>133</v>
      </c>
      <c r="B27" s="67"/>
    </row>
    <row r="28" spans="1:2" ht="13.8" thickBot="1" x14ac:dyDescent="0.3"/>
    <row r="29" spans="1:2" ht="13.8" thickBot="1" x14ac:dyDescent="0.3">
      <c r="A29" s="74" t="s">
        <v>134</v>
      </c>
      <c r="B29" s="85"/>
    </row>
    <row r="30" spans="1:2" x14ac:dyDescent="0.25">
      <c r="A30" s="61" t="s">
        <v>2</v>
      </c>
      <c r="B30" s="64">
        <v>0.1</v>
      </c>
    </row>
    <row r="31" spans="1:2" x14ac:dyDescent="0.25">
      <c r="A31" s="62" t="s">
        <v>200</v>
      </c>
      <c r="B31" s="96"/>
    </row>
    <row r="32" spans="1:2" x14ac:dyDescent="0.25">
      <c r="A32" s="62" t="s">
        <v>16</v>
      </c>
      <c r="B32" s="65"/>
    </row>
    <row r="33" spans="1:2" x14ac:dyDescent="0.25">
      <c r="A33" s="62" t="s">
        <v>17</v>
      </c>
      <c r="B33" s="66"/>
    </row>
    <row r="34" spans="1:2" x14ac:dyDescent="0.25">
      <c r="A34" s="62" t="s">
        <v>78</v>
      </c>
      <c r="B34" s="65"/>
    </row>
    <row r="35" spans="1:2" x14ac:dyDescent="0.25">
      <c r="A35" s="62" t="s">
        <v>79</v>
      </c>
      <c r="B35" s="66"/>
    </row>
    <row r="36" spans="1:2" x14ac:dyDescent="0.25">
      <c r="A36" s="62" t="s">
        <v>128</v>
      </c>
      <c r="B36" s="65"/>
    </row>
    <row r="37" spans="1:2" x14ac:dyDescent="0.25">
      <c r="A37" s="62" t="s">
        <v>129</v>
      </c>
      <c r="B37" s="66"/>
    </row>
    <row r="38" spans="1:2" x14ac:dyDescent="0.25">
      <c r="A38" s="62" t="s">
        <v>130</v>
      </c>
      <c r="B38" s="65"/>
    </row>
    <row r="39" spans="1:2" x14ac:dyDescent="0.25">
      <c r="A39" s="62" t="s">
        <v>131</v>
      </c>
      <c r="B39" s="66"/>
    </row>
    <row r="40" spans="1:2" x14ac:dyDescent="0.25">
      <c r="A40" s="62" t="s">
        <v>132</v>
      </c>
      <c r="B40" s="65"/>
    </row>
    <row r="41" spans="1:2" ht="13.8" thickBot="1" x14ac:dyDescent="0.3">
      <c r="A41" s="63" t="s">
        <v>133</v>
      </c>
      <c r="B41" s="67"/>
    </row>
    <row r="42" spans="1:2" ht="13.8" thickBot="1" x14ac:dyDescent="0.3"/>
    <row r="43" spans="1:2" ht="13.8" thickBot="1" x14ac:dyDescent="0.3">
      <c r="A43" s="74" t="s">
        <v>135</v>
      </c>
      <c r="B43" s="85"/>
    </row>
    <row r="44" spans="1:2" x14ac:dyDescent="0.25">
      <c r="A44" s="61" t="s">
        <v>2</v>
      </c>
      <c r="B44" s="64"/>
    </row>
    <row r="45" spans="1:2" x14ac:dyDescent="0.25">
      <c r="A45" s="62" t="s">
        <v>200</v>
      </c>
      <c r="B45" s="96"/>
    </row>
    <row r="46" spans="1:2" x14ac:dyDescent="0.25">
      <c r="A46" s="62" t="s">
        <v>16</v>
      </c>
      <c r="B46" s="65"/>
    </row>
    <row r="47" spans="1:2" x14ac:dyDescent="0.25">
      <c r="A47" s="62" t="s">
        <v>17</v>
      </c>
      <c r="B47" s="66"/>
    </row>
    <row r="48" spans="1:2" x14ac:dyDescent="0.25">
      <c r="A48" s="62" t="s">
        <v>78</v>
      </c>
      <c r="B48" s="65"/>
    </row>
    <row r="49" spans="1:2" x14ac:dyDescent="0.25">
      <c r="A49" s="62" t="s">
        <v>79</v>
      </c>
      <c r="B49" s="66"/>
    </row>
    <row r="50" spans="1:2" x14ac:dyDescent="0.25">
      <c r="A50" s="62" t="s">
        <v>128</v>
      </c>
      <c r="B50" s="65"/>
    </row>
    <row r="51" spans="1:2" x14ac:dyDescent="0.25">
      <c r="A51" s="62" t="s">
        <v>129</v>
      </c>
      <c r="B51" s="66"/>
    </row>
    <row r="52" spans="1:2" x14ac:dyDescent="0.25">
      <c r="A52" s="62" t="s">
        <v>130</v>
      </c>
      <c r="B52" s="65"/>
    </row>
    <row r="53" spans="1:2" x14ac:dyDescent="0.25">
      <c r="A53" s="62" t="s">
        <v>131</v>
      </c>
      <c r="B53" s="66"/>
    </row>
    <row r="54" spans="1:2" x14ac:dyDescent="0.25">
      <c r="A54" s="62" t="s">
        <v>132</v>
      </c>
      <c r="B54" s="65"/>
    </row>
    <row r="55" spans="1:2" ht="13.8" thickBot="1" x14ac:dyDescent="0.3">
      <c r="A55" s="63" t="s">
        <v>133</v>
      </c>
      <c r="B55" s="67"/>
    </row>
    <row r="56" spans="1:2" ht="13.8" thickBot="1" x14ac:dyDescent="0.3"/>
    <row r="57" spans="1:2" ht="13.8" thickBot="1" x14ac:dyDescent="0.3">
      <c r="A57" s="74" t="s">
        <v>136</v>
      </c>
      <c r="B57" s="85"/>
    </row>
    <row r="58" spans="1:2" x14ac:dyDescent="0.25">
      <c r="A58" s="61" t="s">
        <v>2</v>
      </c>
      <c r="B58" s="64"/>
    </row>
    <row r="59" spans="1:2" x14ac:dyDescent="0.25">
      <c r="A59" s="62" t="s">
        <v>200</v>
      </c>
      <c r="B59" s="96"/>
    </row>
    <row r="60" spans="1:2" x14ac:dyDescent="0.25">
      <c r="A60" s="62" t="s">
        <v>16</v>
      </c>
      <c r="B60" s="65"/>
    </row>
    <row r="61" spans="1:2" x14ac:dyDescent="0.25">
      <c r="A61" s="62" t="s">
        <v>17</v>
      </c>
      <c r="B61" s="66"/>
    </row>
    <row r="62" spans="1:2" x14ac:dyDescent="0.25">
      <c r="A62" s="62" t="s">
        <v>78</v>
      </c>
      <c r="B62" s="65"/>
    </row>
    <row r="63" spans="1:2" x14ac:dyDescent="0.25">
      <c r="A63" s="62" t="s">
        <v>79</v>
      </c>
      <c r="B63" s="66"/>
    </row>
    <row r="64" spans="1:2" x14ac:dyDescent="0.25">
      <c r="A64" s="62" t="s">
        <v>128</v>
      </c>
      <c r="B64" s="65"/>
    </row>
    <row r="65" spans="1:2" x14ac:dyDescent="0.25">
      <c r="A65" s="62" t="s">
        <v>129</v>
      </c>
      <c r="B65" s="66"/>
    </row>
    <row r="66" spans="1:2" x14ac:dyDescent="0.25">
      <c r="A66" s="62" t="s">
        <v>130</v>
      </c>
      <c r="B66" s="65"/>
    </row>
    <row r="67" spans="1:2" x14ac:dyDescent="0.25">
      <c r="A67" s="62" t="s">
        <v>131</v>
      </c>
      <c r="B67" s="66"/>
    </row>
    <row r="68" spans="1:2" x14ac:dyDescent="0.25">
      <c r="A68" s="62" t="s">
        <v>132</v>
      </c>
      <c r="B68" s="65"/>
    </row>
    <row r="69" spans="1:2" ht="13.8" thickBot="1" x14ac:dyDescent="0.3">
      <c r="A69" s="63" t="s">
        <v>133</v>
      </c>
      <c r="B69" s="67"/>
    </row>
    <row r="71" spans="1:2" x14ac:dyDescent="0.25">
      <c r="A71" s="83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E34"/>
  <sheetViews>
    <sheetView workbookViewId="0">
      <selection activeCell="E4" sqref="E4:AE11"/>
    </sheetView>
  </sheetViews>
  <sheetFormatPr baseColWidth="10" defaultRowHeight="13.2" outlineLevelCol="1" x14ac:dyDescent="0.25"/>
  <cols>
    <col min="3" max="3" width="52.44140625" bestFit="1" customWidth="1"/>
    <col min="4" max="4" width="3" hidden="1" customWidth="1" outlineLevel="1"/>
    <col min="5" max="5" width="12.109375" bestFit="1" customWidth="1" collapsed="1"/>
    <col min="6" max="31" width="12.109375" bestFit="1" customWidth="1"/>
  </cols>
  <sheetData>
    <row r="1" spans="1:31" ht="13.8" thickBot="1" x14ac:dyDescent="0.3">
      <c r="A1" s="89" t="s">
        <v>125</v>
      </c>
      <c r="B1" s="89"/>
      <c r="D1" s="70">
        <v>1</v>
      </c>
      <c r="E1" s="71">
        <v>42185</v>
      </c>
      <c r="F1" s="72">
        <v>42277</v>
      </c>
      <c r="G1" s="72">
        <v>42369</v>
      </c>
      <c r="H1" s="72">
        <v>42460</v>
      </c>
      <c r="I1" s="72">
        <v>42551</v>
      </c>
      <c r="J1" s="72">
        <v>42643</v>
      </c>
      <c r="K1" s="72">
        <v>42735</v>
      </c>
      <c r="L1" s="72">
        <v>42825</v>
      </c>
      <c r="M1" s="72">
        <v>42916</v>
      </c>
      <c r="N1" s="72">
        <v>43008</v>
      </c>
      <c r="O1" s="72">
        <v>43100</v>
      </c>
      <c r="P1" s="72">
        <v>43190</v>
      </c>
      <c r="Q1" s="72">
        <v>43281</v>
      </c>
      <c r="R1" s="72">
        <v>43373</v>
      </c>
      <c r="S1" s="72">
        <v>43465</v>
      </c>
      <c r="T1" s="72">
        <v>43555</v>
      </c>
      <c r="U1" s="72">
        <v>43646</v>
      </c>
      <c r="V1" s="72">
        <v>43738</v>
      </c>
      <c r="W1" s="72">
        <v>43830</v>
      </c>
      <c r="X1" s="72">
        <v>43921</v>
      </c>
      <c r="Y1" s="72">
        <v>44012</v>
      </c>
      <c r="Z1" s="72">
        <v>44104</v>
      </c>
      <c r="AA1" s="72">
        <v>44196</v>
      </c>
      <c r="AB1" s="72">
        <v>44286</v>
      </c>
      <c r="AC1" s="72">
        <v>44377</v>
      </c>
      <c r="AD1" s="72">
        <v>44469</v>
      </c>
      <c r="AE1" s="73">
        <v>44561</v>
      </c>
    </row>
    <row r="2" spans="1:31" x14ac:dyDescent="0.25">
      <c r="A2" s="89" t="s">
        <v>15</v>
      </c>
      <c r="B2" s="89"/>
      <c r="D2" s="70">
        <v>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</row>
    <row r="3" spans="1:31" x14ac:dyDescent="0.25">
      <c r="C3" s="2"/>
      <c r="D3" s="70">
        <v>3</v>
      </c>
    </row>
    <row r="4" spans="1:31" x14ac:dyDescent="0.25">
      <c r="A4" s="60" t="s">
        <v>0</v>
      </c>
      <c r="B4" s="60" t="s">
        <v>138</v>
      </c>
      <c r="C4" s="60" t="s">
        <v>104</v>
      </c>
      <c r="D4" s="70">
        <v>4</v>
      </c>
      <c r="E4" s="58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spans="1:31" x14ac:dyDescent="0.25">
      <c r="A5" s="60" t="s">
        <v>0</v>
      </c>
      <c r="B5" s="60" t="s">
        <v>138</v>
      </c>
      <c r="C5" s="60" t="s">
        <v>80</v>
      </c>
      <c r="D5" s="70">
        <v>5</v>
      </c>
      <c r="E5" s="58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1" x14ac:dyDescent="0.25">
      <c r="A6" s="60" t="s">
        <v>0</v>
      </c>
      <c r="B6" s="60" t="s">
        <v>138</v>
      </c>
      <c r="C6" s="60" t="s">
        <v>99</v>
      </c>
      <c r="D6" s="70">
        <v>6</v>
      </c>
      <c r="E6" s="5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 spans="1:31" x14ac:dyDescent="0.25">
      <c r="A7" s="60" t="s">
        <v>0</v>
      </c>
      <c r="B7" s="60" t="s">
        <v>138</v>
      </c>
      <c r="C7" s="60" t="s">
        <v>81</v>
      </c>
      <c r="D7" s="70">
        <v>7</v>
      </c>
      <c r="E7" s="58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 spans="1:31" x14ac:dyDescent="0.25">
      <c r="A8" s="60" t="s">
        <v>0</v>
      </c>
      <c r="B8" s="60" t="s">
        <v>138</v>
      </c>
      <c r="C8" s="60" t="s">
        <v>82</v>
      </c>
      <c r="D8" s="70">
        <v>8</v>
      </c>
      <c r="E8" s="58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</row>
    <row r="9" spans="1:31" x14ac:dyDescent="0.25">
      <c r="A9" s="60" t="s">
        <v>0</v>
      </c>
      <c r="B9" s="60" t="s">
        <v>138</v>
      </c>
      <c r="C9" s="60" t="s">
        <v>83</v>
      </c>
      <c r="D9" s="70">
        <v>9</v>
      </c>
      <c r="E9" s="58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</row>
    <row r="10" spans="1:31" x14ac:dyDescent="0.25">
      <c r="A10" s="60" t="s">
        <v>0</v>
      </c>
      <c r="B10" s="60" t="s">
        <v>138</v>
      </c>
      <c r="C10" s="60" t="s">
        <v>106</v>
      </c>
      <c r="D10" s="70">
        <v>10</v>
      </c>
      <c r="E10" s="58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</row>
    <row r="11" spans="1:31" x14ac:dyDescent="0.25">
      <c r="A11" s="60" t="s">
        <v>0</v>
      </c>
      <c r="B11" s="60" t="s">
        <v>138</v>
      </c>
      <c r="C11" s="60" t="s">
        <v>84</v>
      </c>
      <c r="D11" s="70">
        <v>11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</row>
    <row r="12" spans="1:31" x14ac:dyDescent="0.25">
      <c r="C12" s="1"/>
      <c r="D12" s="70">
        <v>12</v>
      </c>
    </row>
    <row r="13" spans="1:31" x14ac:dyDescent="0.25">
      <c r="C13" s="1"/>
      <c r="D13" s="70">
        <v>13</v>
      </c>
    </row>
    <row r="14" spans="1:31" x14ac:dyDescent="0.25">
      <c r="A14" s="81" t="s">
        <v>1</v>
      </c>
      <c r="B14" s="81" t="s">
        <v>138</v>
      </c>
      <c r="C14" s="81" t="s">
        <v>105</v>
      </c>
      <c r="D14" s="70">
        <v>14</v>
      </c>
      <c r="E14" s="82">
        <f>+E4</f>
        <v>0</v>
      </c>
      <c r="F14" s="82">
        <f>+SUM($E4:F$4)</f>
        <v>0</v>
      </c>
      <c r="G14" s="82">
        <f>+SUM($E4:G$4)</f>
        <v>0</v>
      </c>
      <c r="H14" s="82">
        <f>+SUM($E4:H$4)</f>
        <v>0</v>
      </c>
      <c r="I14" s="82">
        <f>+SUM($E4:I$4)</f>
        <v>0</v>
      </c>
      <c r="J14" s="82">
        <f>+SUM($E4:J$4)</f>
        <v>0</v>
      </c>
      <c r="K14" s="82">
        <f>+SUM($E4:K$4)</f>
        <v>0</v>
      </c>
      <c r="L14" s="82">
        <f>+SUM($E4:L$4)</f>
        <v>0</v>
      </c>
      <c r="M14" s="82">
        <f>+SUM($E4:M$4)</f>
        <v>0</v>
      </c>
      <c r="N14" s="82">
        <f>+SUM($E4:N$4)</f>
        <v>0</v>
      </c>
      <c r="O14" s="82">
        <f>+SUM($E4:O$4)</f>
        <v>0</v>
      </c>
      <c r="P14" s="82">
        <f>+SUM($E4:P$4)</f>
        <v>0</v>
      </c>
      <c r="Q14" s="82">
        <f>+SUM($E4:Q$4)</f>
        <v>0</v>
      </c>
      <c r="R14" s="82">
        <f>+SUM($E4:R$4)</f>
        <v>0</v>
      </c>
      <c r="S14" s="82">
        <f>+SUM($E4:S$4)</f>
        <v>0</v>
      </c>
      <c r="T14" s="82">
        <f>+SUM($E4:T$4)</f>
        <v>0</v>
      </c>
      <c r="U14" s="82">
        <f>+SUM($E4:U$4)</f>
        <v>0</v>
      </c>
      <c r="V14" s="82">
        <f>+SUM($E4:V$4)</f>
        <v>0</v>
      </c>
      <c r="W14" s="82">
        <f>+SUM($E4:W$4)</f>
        <v>0</v>
      </c>
      <c r="X14" s="82">
        <f>+SUM($E4:X$4)</f>
        <v>0</v>
      </c>
      <c r="Y14" s="82">
        <f>+SUM($E4:Y$4)</f>
        <v>0</v>
      </c>
      <c r="Z14" s="82">
        <f>+SUM($E4:Z$4)</f>
        <v>0</v>
      </c>
      <c r="AA14" s="82">
        <f>+SUM($E4:AA$4)</f>
        <v>0</v>
      </c>
      <c r="AB14" s="82">
        <f>+SUM($E4:AB$4)</f>
        <v>0</v>
      </c>
      <c r="AC14" s="82">
        <f>+SUM($E4:AC$4)</f>
        <v>0</v>
      </c>
      <c r="AD14" s="82">
        <f>+SUM($E4:AD$4)</f>
        <v>0</v>
      </c>
      <c r="AE14" s="82">
        <f>+SUM($E4:AE$4)</f>
        <v>0</v>
      </c>
    </row>
    <row r="15" spans="1:31" x14ac:dyDescent="0.25">
      <c r="A15" s="81" t="s">
        <v>1</v>
      </c>
      <c r="B15" s="81" t="s">
        <v>138</v>
      </c>
      <c r="C15" s="81" t="s">
        <v>69</v>
      </c>
      <c r="D15" s="70">
        <v>15</v>
      </c>
      <c r="E15" s="82">
        <f>E5</f>
        <v>0</v>
      </c>
      <c r="F15" s="82">
        <f t="shared" ref="F15:AE15" si="0">+E15+SUM(F5:F6)-F7</f>
        <v>0</v>
      </c>
      <c r="G15" s="82">
        <f t="shared" si="0"/>
        <v>0</v>
      </c>
      <c r="H15" s="82">
        <f t="shared" si="0"/>
        <v>0</v>
      </c>
      <c r="I15" s="82">
        <f t="shared" si="0"/>
        <v>0</v>
      </c>
      <c r="J15" s="82">
        <f t="shared" si="0"/>
        <v>0</v>
      </c>
      <c r="K15" s="82">
        <f t="shared" si="0"/>
        <v>0</v>
      </c>
      <c r="L15" s="82">
        <f t="shared" si="0"/>
        <v>0</v>
      </c>
      <c r="M15" s="82">
        <f t="shared" si="0"/>
        <v>0</v>
      </c>
      <c r="N15" s="82">
        <f t="shared" si="0"/>
        <v>0</v>
      </c>
      <c r="O15" s="82">
        <f t="shared" si="0"/>
        <v>0</v>
      </c>
      <c r="P15" s="82">
        <f t="shared" si="0"/>
        <v>0</v>
      </c>
      <c r="Q15" s="82">
        <f t="shared" si="0"/>
        <v>0</v>
      </c>
      <c r="R15" s="82">
        <f t="shared" si="0"/>
        <v>0</v>
      </c>
      <c r="S15" s="82">
        <f t="shared" si="0"/>
        <v>0</v>
      </c>
      <c r="T15" s="82">
        <f t="shared" si="0"/>
        <v>0</v>
      </c>
      <c r="U15" s="82">
        <f t="shared" si="0"/>
        <v>0</v>
      </c>
      <c r="V15" s="82">
        <f t="shared" si="0"/>
        <v>0</v>
      </c>
      <c r="W15" s="82">
        <f t="shared" si="0"/>
        <v>0</v>
      </c>
      <c r="X15" s="82">
        <f t="shared" si="0"/>
        <v>0</v>
      </c>
      <c r="Y15" s="82">
        <f t="shared" si="0"/>
        <v>0</v>
      </c>
      <c r="Z15" s="82">
        <f t="shared" si="0"/>
        <v>0</v>
      </c>
      <c r="AA15" s="82">
        <f t="shared" si="0"/>
        <v>0</v>
      </c>
      <c r="AB15" s="82">
        <f t="shared" si="0"/>
        <v>0</v>
      </c>
      <c r="AC15" s="82">
        <f t="shared" si="0"/>
        <v>0</v>
      </c>
      <c r="AD15" s="82">
        <f t="shared" si="0"/>
        <v>0</v>
      </c>
      <c r="AE15" s="82">
        <f t="shared" si="0"/>
        <v>0</v>
      </c>
    </row>
    <row r="16" spans="1:31" x14ac:dyDescent="0.25">
      <c r="A16" s="81" t="s">
        <v>1</v>
      </c>
      <c r="B16" s="81" t="s">
        <v>138</v>
      </c>
      <c r="C16" s="81" t="s">
        <v>44</v>
      </c>
      <c r="D16" s="70">
        <v>16</v>
      </c>
      <c r="E16" s="82">
        <f>+E15</f>
        <v>0</v>
      </c>
      <c r="F16" s="82">
        <f t="shared" ref="F16:AE16" si="1">+E16+F5+F6-F7-F8+F9</f>
        <v>0</v>
      </c>
      <c r="G16" s="82">
        <f t="shared" si="1"/>
        <v>0</v>
      </c>
      <c r="H16" s="82">
        <f t="shared" si="1"/>
        <v>0</v>
      </c>
      <c r="I16" s="82">
        <f t="shared" si="1"/>
        <v>0</v>
      </c>
      <c r="J16" s="82">
        <f t="shared" si="1"/>
        <v>0</v>
      </c>
      <c r="K16" s="82">
        <f t="shared" si="1"/>
        <v>0</v>
      </c>
      <c r="L16" s="82">
        <f t="shared" si="1"/>
        <v>0</v>
      </c>
      <c r="M16" s="82">
        <f t="shared" si="1"/>
        <v>0</v>
      </c>
      <c r="N16" s="82">
        <f t="shared" si="1"/>
        <v>0</v>
      </c>
      <c r="O16" s="82">
        <f t="shared" si="1"/>
        <v>0</v>
      </c>
      <c r="P16" s="82">
        <f t="shared" si="1"/>
        <v>0</v>
      </c>
      <c r="Q16" s="82">
        <f t="shared" si="1"/>
        <v>0</v>
      </c>
      <c r="R16" s="82">
        <f t="shared" si="1"/>
        <v>0</v>
      </c>
      <c r="S16" s="82">
        <f t="shared" si="1"/>
        <v>0</v>
      </c>
      <c r="T16" s="82">
        <f t="shared" si="1"/>
        <v>0</v>
      </c>
      <c r="U16" s="82">
        <f t="shared" si="1"/>
        <v>0</v>
      </c>
      <c r="V16" s="82">
        <f t="shared" si="1"/>
        <v>0</v>
      </c>
      <c r="W16" s="82">
        <f t="shared" si="1"/>
        <v>0</v>
      </c>
      <c r="X16" s="82">
        <f t="shared" si="1"/>
        <v>0</v>
      </c>
      <c r="Y16" s="82">
        <f t="shared" si="1"/>
        <v>0</v>
      </c>
      <c r="Z16" s="82">
        <f t="shared" si="1"/>
        <v>0</v>
      </c>
      <c r="AA16" s="82">
        <f t="shared" si="1"/>
        <v>0</v>
      </c>
      <c r="AB16" s="82">
        <f t="shared" si="1"/>
        <v>0</v>
      </c>
      <c r="AC16" s="82">
        <f t="shared" si="1"/>
        <v>0</v>
      </c>
      <c r="AD16" s="82">
        <f t="shared" si="1"/>
        <v>0</v>
      </c>
      <c r="AE16" s="82">
        <f t="shared" si="1"/>
        <v>0</v>
      </c>
    </row>
    <row r="17" spans="1:31" x14ac:dyDescent="0.25">
      <c r="A17" s="81" t="s">
        <v>1</v>
      </c>
      <c r="B17" s="81" t="s">
        <v>138</v>
      </c>
      <c r="C17" s="81" t="s">
        <v>100</v>
      </c>
      <c r="D17" s="70">
        <v>17</v>
      </c>
      <c r="E17" s="82">
        <f>+E5+E6</f>
        <v>0</v>
      </c>
      <c r="F17" s="82">
        <f>+SUM($E$5:F6)</f>
        <v>0</v>
      </c>
      <c r="G17" s="82">
        <f>+SUM($E$5:G6)</f>
        <v>0</v>
      </c>
      <c r="H17" s="82">
        <f>+SUM($E$5:H6)</f>
        <v>0</v>
      </c>
      <c r="I17" s="82">
        <f>+SUM($E$5:I6)</f>
        <v>0</v>
      </c>
      <c r="J17" s="82">
        <f>+SUM($E$5:J6)</f>
        <v>0</v>
      </c>
      <c r="K17" s="82">
        <f>+SUM($E$5:K6)</f>
        <v>0</v>
      </c>
      <c r="L17" s="82">
        <f>+SUM($E$5:L6)</f>
        <v>0</v>
      </c>
      <c r="M17" s="82">
        <f>+SUM($E$5:M6)</f>
        <v>0</v>
      </c>
      <c r="N17" s="82">
        <f>+SUM($E$5:N6)</f>
        <v>0</v>
      </c>
      <c r="O17" s="82">
        <f>+SUM($E$5:O6)</f>
        <v>0</v>
      </c>
      <c r="P17" s="82">
        <f>+SUM($E$5:P6)</f>
        <v>0</v>
      </c>
      <c r="Q17" s="82">
        <f>+SUM($E$5:Q6)</f>
        <v>0</v>
      </c>
      <c r="R17" s="82">
        <f>+SUM($E$5:R6)</f>
        <v>0</v>
      </c>
      <c r="S17" s="82">
        <f>+SUM($E$5:S6)</f>
        <v>0</v>
      </c>
      <c r="T17" s="82">
        <f>+SUM($E$5:T6)</f>
        <v>0</v>
      </c>
      <c r="U17" s="82">
        <f>+SUM($E$5:U6)</f>
        <v>0</v>
      </c>
      <c r="V17" s="82">
        <f>+SUM($E$5:V6)</f>
        <v>0</v>
      </c>
      <c r="W17" s="82">
        <f>+SUM($E$5:W6)</f>
        <v>0</v>
      </c>
      <c r="X17" s="82">
        <f>+SUM($E$5:X6)</f>
        <v>0</v>
      </c>
      <c r="Y17" s="82">
        <f>+SUM($E$5:Y6)</f>
        <v>0</v>
      </c>
      <c r="Z17" s="82">
        <f>+SUM($E$5:Z6)</f>
        <v>0</v>
      </c>
      <c r="AA17" s="82">
        <f>+SUM($E$5:AA6)</f>
        <v>0</v>
      </c>
      <c r="AB17" s="82">
        <f>+SUM($E$5:AB6)</f>
        <v>0</v>
      </c>
      <c r="AC17" s="82">
        <f>+SUM($E$5:AC6)</f>
        <v>0</v>
      </c>
      <c r="AD17" s="82">
        <f>+SUM($E$5:AD6)</f>
        <v>0</v>
      </c>
      <c r="AE17" s="82">
        <f>+SUM($E$5:AE6)</f>
        <v>0</v>
      </c>
    </row>
    <row r="18" spans="1:31" x14ac:dyDescent="0.25">
      <c r="A18" s="81" t="s">
        <v>1</v>
      </c>
      <c r="B18" s="81" t="s">
        <v>138</v>
      </c>
      <c r="C18" s="81" t="s">
        <v>101</v>
      </c>
      <c r="D18" s="70">
        <v>18</v>
      </c>
      <c r="E18" s="82">
        <f>+E7</f>
        <v>0</v>
      </c>
      <c r="F18" s="82">
        <f>+SUM($E$7:F7)</f>
        <v>0</v>
      </c>
      <c r="G18" s="82">
        <f>+SUM($E$7:G7)</f>
        <v>0</v>
      </c>
      <c r="H18" s="82">
        <f>+SUM($E$7:H7)</f>
        <v>0</v>
      </c>
      <c r="I18" s="82">
        <f>+SUM($E$7:I7)</f>
        <v>0</v>
      </c>
      <c r="J18" s="82">
        <f>+SUM($E$7:J7)</f>
        <v>0</v>
      </c>
      <c r="K18" s="82">
        <f>+SUM($E$7:K7)</f>
        <v>0</v>
      </c>
      <c r="L18" s="82">
        <f>+SUM($E$7:L7)</f>
        <v>0</v>
      </c>
      <c r="M18" s="82">
        <f>+SUM($E$7:M7)</f>
        <v>0</v>
      </c>
      <c r="N18" s="82">
        <f>+SUM($E$7:N7)</f>
        <v>0</v>
      </c>
      <c r="O18" s="82">
        <f>+SUM($E$7:O7)</f>
        <v>0</v>
      </c>
      <c r="P18" s="82">
        <f>+SUM($E$7:P7)</f>
        <v>0</v>
      </c>
      <c r="Q18" s="82">
        <f>+SUM($E$7:Q7)</f>
        <v>0</v>
      </c>
      <c r="R18" s="82">
        <f>+SUM($E$7:R7)</f>
        <v>0</v>
      </c>
      <c r="S18" s="82">
        <f>+SUM($E$7:S7)</f>
        <v>0</v>
      </c>
      <c r="T18" s="82">
        <f>+SUM($E$7:T7)</f>
        <v>0</v>
      </c>
      <c r="U18" s="82">
        <f>+SUM($E$7:U7)</f>
        <v>0</v>
      </c>
      <c r="V18" s="82">
        <f>+SUM($E$7:V7)</f>
        <v>0</v>
      </c>
      <c r="W18" s="82">
        <f>+SUM($E$7:W7)</f>
        <v>0</v>
      </c>
      <c r="X18" s="82">
        <f>+SUM($E$7:X7)</f>
        <v>0</v>
      </c>
      <c r="Y18" s="82">
        <f>+SUM($E$7:Y7)</f>
        <v>0</v>
      </c>
      <c r="Z18" s="82">
        <f>+SUM($E$7:Z7)</f>
        <v>0</v>
      </c>
      <c r="AA18" s="82">
        <f>+SUM($E$7:AA7)</f>
        <v>0</v>
      </c>
      <c r="AB18" s="82">
        <f>+SUM($E$7:AB7)</f>
        <v>0</v>
      </c>
      <c r="AC18" s="82">
        <f>+SUM($E$7:AC7)</f>
        <v>0</v>
      </c>
      <c r="AD18" s="82">
        <f>+SUM($E$7:AD7)</f>
        <v>0</v>
      </c>
      <c r="AE18" s="82">
        <f>+SUM($E$7:AE7)</f>
        <v>0</v>
      </c>
    </row>
    <row r="19" spans="1:31" x14ac:dyDescent="0.25">
      <c r="A19" s="81" t="s">
        <v>1</v>
      </c>
      <c r="B19" s="81" t="s">
        <v>138</v>
      </c>
      <c r="C19" s="81" t="s">
        <v>102</v>
      </c>
      <c r="D19" s="70">
        <v>19</v>
      </c>
      <c r="E19" s="82">
        <f>+E8</f>
        <v>0</v>
      </c>
      <c r="F19" s="82">
        <f>+SUM($E$8:F8)</f>
        <v>0</v>
      </c>
      <c r="G19" s="82">
        <f>+SUM($E$8:G8)</f>
        <v>0</v>
      </c>
      <c r="H19" s="82">
        <f>+SUM($E$8:H8)</f>
        <v>0</v>
      </c>
      <c r="I19" s="82">
        <f>+SUM($E$8:I8)</f>
        <v>0</v>
      </c>
      <c r="J19" s="82">
        <f>+SUM($E$8:J8)</f>
        <v>0</v>
      </c>
      <c r="K19" s="82">
        <f>+SUM($E$8:K8)</f>
        <v>0</v>
      </c>
      <c r="L19" s="82">
        <f>+SUM($E$8:L8)</f>
        <v>0</v>
      </c>
      <c r="M19" s="82">
        <f>+SUM($E$8:M8)</f>
        <v>0</v>
      </c>
      <c r="N19" s="82">
        <f>+SUM($E$8:N8)</f>
        <v>0</v>
      </c>
      <c r="O19" s="82">
        <f>+SUM($E$8:O8)</f>
        <v>0</v>
      </c>
      <c r="P19" s="82">
        <f>+SUM($E$8:P8)</f>
        <v>0</v>
      </c>
      <c r="Q19" s="82">
        <f>+SUM($E$8:Q8)</f>
        <v>0</v>
      </c>
      <c r="R19" s="82">
        <f>+SUM($E$8:R8)</f>
        <v>0</v>
      </c>
      <c r="S19" s="82">
        <f>+SUM($E$8:S8)</f>
        <v>0</v>
      </c>
      <c r="T19" s="82">
        <f>+SUM($E$8:T8)</f>
        <v>0</v>
      </c>
      <c r="U19" s="82">
        <f>+SUM($E$8:U8)</f>
        <v>0</v>
      </c>
      <c r="V19" s="82">
        <f>+SUM($E$8:V8)</f>
        <v>0</v>
      </c>
      <c r="W19" s="82">
        <f>+SUM($E$8:W8)</f>
        <v>0</v>
      </c>
      <c r="X19" s="82">
        <f>+SUM($E$8:X8)</f>
        <v>0</v>
      </c>
      <c r="Y19" s="82">
        <f>+SUM($E$8:Y8)</f>
        <v>0</v>
      </c>
      <c r="Z19" s="82">
        <f>+SUM($E$8:Z8)</f>
        <v>0</v>
      </c>
      <c r="AA19" s="82">
        <f>+SUM($E$8:AA8)</f>
        <v>0</v>
      </c>
      <c r="AB19" s="82">
        <f>+SUM($E$8:AB8)</f>
        <v>0</v>
      </c>
      <c r="AC19" s="82">
        <f>+SUM($E$8:AC8)</f>
        <v>0</v>
      </c>
      <c r="AD19" s="82">
        <f>+SUM($E$8:AD8)</f>
        <v>0</v>
      </c>
      <c r="AE19" s="82">
        <f>+SUM($E$8:AE8)</f>
        <v>0</v>
      </c>
    </row>
    <row r="20" spans="1:31" x14ac:dyDescent="0.25">
      <c r="A20" s="81" t="s">
        <v>1</v>
      </c>
      <c r="B20" s="81" t="s">
        <v>138</v>
      </c>
      <c r="C20" s="81" t="s">
        <v>103</v>
      </c>
      <c r="D20" s="70">
        <v>20</v>
      </c>
      <c r="E20" s="82">
        <f>+E9</f>
        <v>0</v>
      </c>
      <c r="F20" s="82">
        <f>+SUM($E$9:F9)</f>
        <v>0</v>
      </c>
      <c r="G20" s="82">
        <f>+SUM($E$9:G9)</f>
        <v>0</v>
      </c>
      <c r="H20" s="82">
        <f>+SUM($E$9:H9)</f>
        <v>0</v>
      </c>
      <c r="I20" s="82">
        <f>+SUM($E$9:I9)</f>
        <v>0</v>
      </c>
      <c r="J20" s="82">
        <f>+SUM($E$9:J9)</f>
        <v>0</v>
      </c>
      <c r="K20" s="82">
        <f>+SUM($E$9:K9)</f>
        <v>0</v>
      </c>
      <c r="L20" s="82">
        <f>+SUM($E$9:L9)</f>
        <v>0</v>
      </c>
      <c r="M20" s="82">
        <f>+SUM($E$9:M9)</f>
        <v>0</v>
      </c>
      <c r="N20" s="82">
        <f>+SUM($E$9:N9)</f>
        <v>0</v>
      </c>
      <c r="O20" s="82">
        <f>+SUM($E$9:O9)</f>
        <v>0</v>
      </c>
      <c r="P20" s="82">
        <f>+SUM($E$9:P9)</f>
        <v>0</v>
      </c>
      <c r="Q20" s="82">
        <f>+SUM($E$9:Q9)</f>
        <v>0</v>
      </c>
      <c r="R20" s="82">
        <f>+SUM($E$9:R9)</f>
        <v>0</v>
      </c>
      <c r="S20" s="82">
        <f>+SUM($E$9:S9)</f>
        <v>0</v>
      </c>
      <c r="T20" s="82">
        <f>+SUM($E$9:T9)</f>
        <v>0</v>
      </c>
      <c r="U20" s="82">
        <f>+SUM($E$9:U9)</f>
        <v>0</v>
      </c>
      <c r="V20" s="82">
        <f>+SUM($E$9:V9)</f>
        <v>0</v>
      </c>
      <c r="W20" s="82">
        <f>+SUM($E$9:W9)</f>
        <v>0</v>
      </c>
      <c r="X20" s="82">
        <f>+SUM($E$9:X9)</f>
        <v>0</v>
      </c>
      <c r="Y20" s="82">
        <f>+SUM($E$9:Y9)</f>
        <v>0</v>
      </c>
      <c r="Z20" s="82">
        <f>+SUM($E$9:Z9)</f>
        <v>0</v>
      </c>
      <c r="AA20" s="82">
        <f>+SUM($E$9:AA9)</f>
        <v>0</v>
      </c>
      <c r="AB20" s="82">
        <f>+SUM($E$9:AB9)</f>
        <v>0</v>
      </c>
      <c r="AC20" s="82">
        <f>+SUM($E$9:AC9)</f>
        <v>0</v>
      </c>
      <c r="AD20" s="82">
        <f>+SUM($E$9:AD9)</f>
        <v>0</v>
      </c>
      <c r="AE20" s="82">
        <f>+SUM($E$9:AE9)</f>
        <v>0</v>
      </c>
    </row>
    <row r="21" spans="1:31" x14ac:dyDescent="0.25">
      <c r="A21" s="81" t="s">
        <v>1</v>
      </c>
      <c r="B21" s="81" t="s">
        <v>138</v>
      </c>
      <c r="C21" s="81" t="s">
        <v>107</v>
      </c>
      <c r="D21" s="70">
        <v>21</v>
      </c>
      <c r="E21" s="82">
        <f>+E10</f>
        <v>0</v>
      </c>
      <c r="F21" s="82">
        <f>+SUM($E$10:F10)</f>
        <v>0</v>
      </c>
      <c r="G21" s="82">
        <f>+SUM($E$10:G10)</f>
        <v>0</v>
      </c>
      <c r="H21" s="82">
        <f>+SUM($E$10:H10)</f>
        <v>0</v>
      </c>
      <c r="I21" s="82">
        <f>+SUM($E$10:I10)</f>
        <v>0</v>
      </c>
      <c r="J21" s="82">
        <f>+SUM($E$10:J10)</f>
        <v>0</v>
      </c>
      <c r="K21" s="82">
        <f>+SUM($E$10:K10)</f>
        <v>0</v>
      </c>
      <c r="L21" s="82">
        <f>+SUM($E$10:L10)</f>
        <v>0</v>
      </c>
      <c r="M21" s="82">
        <f>+SUM($E$10:M10)</f>
        <v>0</v>
      </c>
      <c r="N21" s="82">
        <f>+SUM($E$10:N10)</f>
        <v>0</v>
      </c>
      <c r="O21" s="82">
        <f>+SUM($E$10:O10)</f>
        <v>0</v>
      </c>
      <c r="P21" s="82">
        <f>+SUM($E$10:P10)</f>
        <v>0</v>
      </c>
      <c r="Q21" s="82">
        <f>+SUM($E$10:Q10)</f>
        <v>0</v>
      </c>
      <c r="R21" s="82">
        <f>+SUM($E$10:R10)</f>
        <v>0</v>
      </c>
      <c r="S21" s="82">
        <f>+SUM($E$10:S10)</f>
        <v>0</v>
      </c>
      <c r="T21" s="82">
        <f>+SUM($E$10:T10)</f>
        <v>0</v>
      </c>
      <c r="U21" s="82">
        <f>+SUM($E$10:U10)</f>
        <v>0</v>
      </c>
      <c r="V21" s="82">
        <f>+SUM($E$10:V10)</f>
        <v>0</v>
      </c>
      <c r="W21" s="82">
        <f>+SUM($E$10:W10)</f>
        <v>0</v>
      </c>
      <c r="X21" s="82">
        <f>+SUM($E$10:X10)</f>
        <v>0</v>
      </c>
      <c r="Y21" s="82">
        <f>+SUM($E$10:Y10)</f>
        <v>0</v>
      </c>
      <c r="Z21" s="82">
        <f>+SUM($E$10:Z10)</f>
        <v>0</v>
      </c>
      <c r="AA21" s="82">
        <f>+SUM($E$10:AA10)</f>
        <v>0</v>
      </c>
      <c r="AB21" s="82">
        <f>+SUM($E$10:AB10)</f>
        <v>0</v>
      </c>
      <c r="AC21" s="82">
        <f>+SUM($E$10:AC10)</f>
        <v>0</v>
      </c>
      <c r="AD21" s="82">
        <f>+SUM($E$10:AD10)</f>
        <v>0</v>
      </c>
      <c r="AE21" s="82">
        <f>+SUM($E$10:AE10)</f>
        <v>0</v>
      </c>
    </row>
    <row r="22" spans="1:31" x14ac:dyDescent="0.25">
      <c r="D22" s="70">
        <v>22</v>
      </c>
    </row>
    <row r="23" spans="1:31" x14ac:dyDescent="0.25">
      <c r="D23" s="70">
        <v>23</v>
      </c>
    </row>
    <row r="24" spans="1:31" x14ac:dyDescent="0.25">
      <c r="D24" s="70">
        <v>24</v>
      </c>
    </row>
    <row r="25" spans="1:31" x14ac:dyDescent="0.25">
      <c r="D25" s="70">
        <v>25</v>
      </c>
    </row>
    <row r="26" spans="1:31" x14ac:dyDescent="0.25">
      <c r="D26" s="70">
        <v>26</v>
      </c>
    </row>
    <row r="27" spans="1:31" x14ac:dyDescent="0.25">
      <c r="D27" s="70">
        <v>27</v>
      </c>
    </row>
    <row r="28" spans="1:31" x14ac:dyDescent="0.25">
      <c r="D28" s="70">
        <v>28</v>
      </c>
    </row>
    <row r="29" spans="1:31" x14ac:dyDescent="0.25">
      <c r="D29" s="70">
        <v>29</v>
      </c>
    </row>
    <row r="30" spans="1:31" x14ac:dyDescent="0.25">
      <c r="D30" s="70">
        <v>30</v>
      </c>
    </row>
    <row r="31" spans="1:31" x14ac:dyDescent="0.25">
      <c r="D31" s="70">
        <v>31</v>
      </c>
    </row>
    <row r="32" spans="1:31" x14ac:dyDescent="0.25">
      <c r="D32" s="70">
        <v>32</v>
      </c>
    </row>
    <row r="33" spans="4:4" x14ac:dyDescent="0.25">
      <c r="D33" s="70">
        <v>33</v>
      </c>
    </row>
    <row r="34" spans="4:4" x14ac:dyDescent="0.25">
      <c r="D34" s="70">
        <v>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BE285"/>
  <sheetViews>
    <sheetView workbookViewId="0">
      <selection activeCell="E4" sqref="E4:AE20"/>
    </sheetView>
  </sheetViews>
  <sheetFormatPr baseColWidth="10" defaultRowHeight="13.2" outlineLevelCol="1" x14ac:dyDescent="0.25"/>
  <cols>
    <col min="3" max="3" width="52.44140625" bestFit="1" customWidth="1"/>
    <col min="4" max="4" width="3" hidden="1" customWidth="1" outlineLevel="1"/>
    <col min="5" max="5" width="12.109375" bestFit="1" customWidth="1" collapsed="1"/>
    <col min="6" max="6" width="14" bestFit="1" customWidth="1"/>
    <col min="7" max="31" width="12.109375" bestFit="1" customWidth="1"/>
  </cols>
  <sheetData>
    <row r="1" spans="1:57" ht="13.8" thickBot="1" x14ac:dyDescent="0.3">
      <c r="A1" s="89" t="s">
        <v>125</v>
      </c>
      <c r="D1" s="70">
        <v>1</v>
      </c>
      <c r="E1" s="71">
        <v>42185</v>
      </c>
      <c r="F1" s="72">
        <v>42277</v>
      </c>
      <c r="G1" s="72">
        <v>42369</v>
      </c>
      <c r="H1" s="72">
        <v>42460</v>
      </c>
      <c r="I1" s="72">
        <v>42551</v>
      </c>
      <c r="J1" s="72">
        <v>42643</v>
      </c>
      <c r="K1" s="72">
        <v>42735</v>
      </c>
      <c r="L1" s="72">
        <v>42825</v>
      </c>
      <c r="M1" s="72">
        <v>42916</v>
      </c>
      <c r="N1" s="72">
        <v>43008</v>
      </c>
      <c r="O1" s="72">
        <v>43100</v>
      </c>
      <c r="P1" s="72">
        <v>43190</v>
      </c>
      <c r="Q1" s="72">
        <v>43281</v>
      </c>
      <c r="R1" s="72">
        <v>43373</v>
      </c>
      <c r="S1" s="72">
        <v>43465</v>
      </c>
      <c r="T1" s="72">
        <v>43555</v>
      </c>
      <c r="U1" s="72">
        <v>43646</v>
      </c>
      <c r="V1" s="72">
        <v>43738</v>
      </c>
      <c r="W1" s="72">
        <v>43830</v>
      </c>
      <c r="X1" s="72">
        <v>43921</v>
      </c>
      <c r="Y1" s="72">
        <v>44012</v>
      </c>
      <c r="Z1" s="72">
        <v>44104</v>
      </c>
      <c r="AA1" s="72">
        <v>44196</v>
      </c>
      <c r="AB1" s="72">
        <v>44286</v>
      </c>
      <c r="AC1" s="72">
        <v>44377</v>
      </c>
      <c r="AD1" s="72">
        <v>44469</v>
      </c>
      <c r="AE1" s="73">
        <v>44561</v>
      </c>
    </row>
    <row r="2" spans="1:57" x14ac:dyDescent="0.25">
      <c r="A2" s="89" t="s">
        <v>140</v>
      </c>
      <c r="D2" s="70">
        <v>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</row>
    <row r="3" spans="1:57" x14ac:dyDescent="0.25">
      <c r="C3" s="1"/>
      <c r="D3" s="70">
        <v>3</v>
      </c>
    </row>
    <row r="4" spans="1:57" x14ac:dyDescent="0.25">
      <c r="A4" s="60" t="s">
        <v>0</v>
      </c>
      <c r="B4" s="60" t="s">
        <v>138</v>
      </c>
      <c r="C4" s="60" t="s">
        <v>104</v>
      </c>
      <c r="D4" s="70">
        <v>4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</row>
    <row r="5" spans="1:57" x14ac:dyDescent="0.25">
      <c r="A5" s="60" t="s">
        <v>0</v>
      </c>
      <c r="B5" s="60" t="s">
        <v>138</v>
      </c>
      <c r="C5" s="60" t="s">
        <v>80</v>
      </c>
      <c r="D5" s="70">
        <v>5</v>
      </c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</row>
    <row r="6" spans="1:57" x14ac:dyDescent="0.25">
      <c r="A6" s="60" t="s">
        <v>0</v>
      </c>
      <c r="B6" s="60" t="s">
        <v>138</v>
      </c>
      <c r="C6" s="60" t="s">
        <v>85</v>
      </c>
      <c r="D6" s="70">
        <v>6</v>
      </c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</row>
    <row r="7" spans="1:57" x14ac:dyDescent="0.25">
      <c r="C7" s="1"/>
      <c r="D7" s="70">
        <v>7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</row>
    <row r="8" spans="1:57" x14ac:dyDescent="0.25">
      <c r="A8" s="60" t="s">
        <v>0</v>
      </c>
      <c r="B8" s="84" t="s">
        <v>139</v>
      </c>
      <c r="C8" s="60" t="s">
        <v>86</v>
      </c>
      <c r="D8" s="70">
        <v>8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</row>
    <row r="9" spans="1:57" x14ac:dyDescent="0.25">
      <c r="A9" s="60" t="s">
        <v>0</v>
      </c>
      <c r="B9" s="60" t="s">
        <v>138</v>
      </c>
      <c r="C9" s="60" t="s">
        <v>87</v>
      </c>
      <c r="D9" s="70">
        <v>9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</row>
    <row r="10" spans="1:57" x14ac:dyDescent="0.25">
      <c r="A10" s="60" t="s">
        <v>0</v>
      </c>
      <c r="B10" s="60" t="s">
        <v>138</v>
      </c>
      <c r="C10" s="60" t="s">
        <v>88</v>
      </c>
      <c r="D10" s="70">
        <v>10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</row>
    <row r="11" spans="1:57" x14ac:dyDescent="0.25">
      <c r="C11" s="1"/>
      <c r="D11" s="70">
        <v>11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</row>
    <row r="12" spans="1:57" x14ac:dyDescent="0.25">
      <c r="A12" s="60" t="s">
        <v>0</v>
      </c>
      <c r="B12" s="84" t="s">
        <v>139</v>
      </c>
      <c r="C12" s="60" t="s">
        <v>89</v>
      </c>
      <c r="D12" s="70">
        <v>12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</row>
    <row r="13" spans="1:57" x14ac:dyDescent="0.25">
      <c r="A13" s="60" t="s">
        <v>0</v>
      </c>
      <c r="B13" s="60" t="s">
        <v>138</v>
      </c>
      <c r="C13" s="60" t="s">
        <v>90</v>
      </c>
      <c r="D13" s="70">
        <v>13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</row>
    <row r="14" spans="1:57" x14ac:dyDescent="0.25">
      <c r="A14" s="60" t="s">
        <v>0</v>
      </c>
      <c r="B14" s="60" t="s">
        <v>138</v>
      </c>
      <c r="C14" s="60" t="s">
        <v>91</v>
      </c>
      <c r="D14" s="70">
        <v>14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</row>
    <row r="15" spans="1:57" x14ac:dyDescent="0.25">
      <c r="C15" s="1"/>
      <c r="D15" s="70">
        <v>15</v>
      </c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</row>
    <row r="16" spans="1:57" x14ac:dyDescent="0.25">
      <c r="A16" s="60" t="s">
        <v>0</v>
      </c>
      <c r="B16" s="60" t="s">
        <v>138</v>
      </c>
      <c r="C16" s="60" t="s">
        <v>112</v>
      </c>
      <c r="D16" s="70">
        <v>16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</row>
    <row r="17" spans="1:57" x14ac:dyDescent="0.25">
      <c r="A17" s="60" t="s">
        <v>0</v>
      </c>
      <c r="B17" s="60" t="s">
        <v>138</v>
      </c>
      <c r="C17" s="60" t="s">
        <v>114</v>
      </c>
      <c r="D17" s="70">
        <v>17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</row>
    <row r="18" spans="1:57" x14ac:dyDescent="0.25">
      <c r="A18" s="60" t="s">
        <v>0</v>
      </c>
      <c r="B18" s="60" t="s">
        <v>138</v>
      </c>
      <c r="C18" s="60" t="s">
        <v>115</v>
      </c>
      <c r="D18" s="70">
        <v>18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</row>
    <row r="19" spans="1:57" x14ac:dyDescent="0.25">
      <c r="C19" s="1"/>
      <c r="D19" s="70">
        <v>19</v>
      </c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</row>
    <row r="20" spans="1:57" x14ac:dyDescent="0.25">
      <c r="A20" s="60" t="s">
        <v>0</v>
      </c>
      <c r="B20" s="60" t="s">
        <v>138</v>
      </c>
      <c r="C20" s="60" t="s">
        <v>113</v>
      </c>
      <c r="D20" s="70">
        <v>20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</row>
    <row r="21" spans="1:57" x14ac:dyDescent="0.25">
      <c r="C21" s="1"/>
      <c r="D21" s="70">
        <v>21</v>
      </c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</row>
    <row r="22" spans="1:57" x14ac:dyDescent="0.25">
      <c r="C22" s="1"/>
      <c r="D22" s="70">
        <v>22</v>
      </c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</row>
    <row r="23" spans="1:57" x14ac:dyDescent="0.25">
      <c r="A23" s="81" t="s">
        <v>1</v>
      </c>
      <c r="B23" s="81" t="s">
        <v>138</v>
      </c>
      <c r="C23" s="81" t="s">
        <v>105</v>
      </c>
      <c r="D23" s="70">
        <v>23</v>
      </c>
      <c r="E23" s="88">
        <f>+E4</f>
        <v>0</v>
      </c>
      <c r="F23" s="88">
        <f>+SUM($E$4:F4)</f>
        <v>0</v>
      </c>
      <c r="G23" s="88">
        <f>+SUM($E$4:G4)</f>
        <v>0</v>
      </c>
      <c r="H23" s="88">
        <f>+SUM($E$4:H4)</f>
        <v>0</v>
      </c>
      <c r="I23" s="88">
        <f>+SUM($E$4:I4)</f>
        <v>0</v>
      </c>
      <c r="J23" s="88">
        <f>+SUM($E$4:J4)</f>
        <v>0</v>
      </c>
      <c r="K23" s="88">
        <f>+SUM($E$4:K4)</f>
        <v>0</v>
      </c>
      <c r="L23" s="88">
        <f>+SUM($E$4:L4)</f>
        <v>0</v>
      </c>
      <c r="M23" s="88">
        <f>+SUM($E$4:M4)</f>
        <v>0</v>
      </c>
      <c r="N23" s="88">
        <f>+SUM($E$4:N4)</f>
        <v>0</v>
      </c>
      <c r="O23" s="88">
        <f>+SUM($E$4:O4)</f>
        <v>0</v>
      </c>
      <c r="P23" s="88">
        <f>+SUM($E$4:P4)</f>
        <v>0</v>
      </c>
      <c r="Q23" s="88">
        <f>+SUM($E$4:Q4)</f>
        <v>0</v>
      </c>
      <c r="R23" s="88">
        <f>+SUM($E$4:R4)</f>
        <v>0</v>
      </c>
      <c r="S23" s="88">
        <f>+SUM($E$4:S4)</f>
        <v>0</v>
      </c>
      <c r="T23" s="88">
        <f>+SUM($E$4:T4)</f>
        <v>0</v>
      </c>
      <c r="U23" s="88">
        <f>+SUM($E$4:U4)</f>
        <v>0</v>
      </c>
      <c r="V23" s="88">
        <f>+SUM($E$4:V4)</f>
        <v>0</v>
      </c>
      <c r="W23" s="88">
        <f>+SUM($E$4:W4)</f>
        <v>0</v>
      </c>
      <c r="X23" s="88">
        <f>+SUM($E$4:X4)</f>
        <v>0</v>
      </c>
      <c r="Y23" s="88">
        <f>+SUM($E$4:Y4)</f>
        <v>0</v>
      </c>
      <c r="Z23" s="88">
        <f>+SUM($E$4:Z4)</f>
        <v>0</v>
      </c>
      <c r="AA23" s="88">
        <f>+SUM($E$4:AA4)</f>
        <v>0</v>
      </c>
      <c r="AB23" s="88">
        <f>+SUM($E$4:AB4)</f>
        <v>0</v>
      </c>
      <c r="AC23" s="88">
        <f>+SUM($E$4:AC4)</f>
        <v>0</v>
      </c>
      <c r="AD23" s="88">
        <f>+SUM($E$4:AD4)</f>
        <v>0</v>
      </c>
      <c r="AE23" s="88">
        <f>+SUM($E$4:AE4)</f>
        <v>0</v>
      </c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</row>
    <row r="24" spans="1:57" x14ac:dyDescent="0.25">
      <c r="A24" s="81" t="s">
        <v>1</v>
      </c>
      <c r="B24" s="81" t="s">
        <v>138</v>
      </c>
      <c r="C24" s="81" t="s">
        <v>100</v>
      </c>
      <c r="D24" s="70">
        <v>24</v>
      </c>
      <c r="E24" s="88">
        <f t="shared" ref="E24" si="0">+E5</f>
        <v>0</v>
      </c>
      <c r="F24" s="88">
        <f>+SUM($E$5:F5)</f>
        <v>0</v>
      </c>
      <c r="G24" s="88">
        <f>+SUM($E$5:G5)</f>
        <v>0</v>
      </c>
      <c r="H24" s="88">
        <f>+SUM($E$5:H5)</f>
        <v>0</v>
      </c>
      <c r="I24" s="88">
        <f>+SUM($E$5:I5)</f>
        <v>0</v>
      </c>
      <c r="J24" s="88">
        <f>+SUM($E$5:J5)</f>
        <v>0</v>
      </c>
      <c r="K24" s="88">
        <f>+SUM($E$5:K5)</f>
        <v>0</v>
      </c>
      <c r="L24" s="88">
        <f>+SUM($E$5:L5)</f>
        <v>0</v>
      </c>
      <c r="M24" s="88">
        <f>+SUM($E$5:M5)</f>
        <v>0</v>
      </c>
      <c r="N24" s="88">
        <f>+SUM($E$5:N5)</f>
        <v>0</v>
      </c>
      <c r="O24" s="88">
        <f>+SUM($E$5:O5)</f>
        <v>0</v>
      </c>
      <c r="P24" s="88">
        <f>+SUM($E$5:P5)</f>
        <v>0</v>
      </c>
      <c r="Q24" s="88">
        <f>+SUM($E$5:Q5)</f>
        <v>0</v>
      </c>
      <c r="R24" s="88">
        <f>+SUM($E$5:R5)</f>
        <v>0</v>
      </c>
      <c r="S24" s="88">
        <f>+SUM($E$5:S5)</f>
        <v>0</v>
      </c>
      <c r="T24" s="88">
        <f>+SUM($E$5:T5)</f>
        <v>0</v>
      </c>
      <c r="U24" s="88">
        <f>+SUM($E$5:U5)</f>
        <v>0</v>
      </c>
      <c r="V24" s="88">
        <f>+SUM($E$5:V5)</f>
        <v>0</v>
      </c>
      <c r="W24" s="88">
        <f>+SUM($E$5:W5)</f>
        <v>0</v>
      </c>
      <c r="X24" s="88">
        <f>+SUM($E$5:X5)</f>
        <v>0</v>
      </c>
      <c r="Y24" s="88">
        <f>+SUM($E$5:Y5)</f>
        <v>0</v>
      </c>
      <c r="Z24" s="88">
        <f>+SUM($E$5:Z5)</f>
        <v>0</v>
      </c>
      <c r="AA24" s="88">
        <f>+SUM($E$5:AA5)</f>
        <v>0</v>
      </c>
      <c r="AB24" s="88">
        <f>+SUM($E$5:AB5)</f>
        <v>0</v>
      </c>
      <c r="AC24" s="88">
        <f>+SUM($E$5:AC5)</f>
        <v>0</v>
      </c>
      <c r="AD24" s="88">
        <f>+SUM($E$5:AD5)</f>
        <v>0</v>
      </c>
      <c r="AE24" s="88">
        <f>+SUM($E$5:AE5)</f>
        <v>0</v>
      </c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</row>
    <row r="25" spans="1:57" x14ac:dyDescent="0.25">
      <c r="A25" s="81" t="s">
        <v>1</v>
      </c>
      <c r="B25" s="81" t="s">
        <v>138</v>
      </c>
      <c r="C25" s="81" t="s">
        <v>118</v>
      </c>
      <c r="D25" s="70">
        <v>25</v>
      </c>
      <c r="E25" s="88">
        <f>+E9</f>
        <v>0</v>
      </c>
      <c r="F25" s="88">
        <f>+SUM($E$9:F9)</f>
        <v>0</v>
      </c>
      <c r="G25" s="88">
        <f>+SUM($E$9:G9)</f>
        <v>0</v>
      </c>
      <c r="H25" s="88">
        <f>+SUM($E$9:H9)</f>
        <v>0</v>
      </c>
      <c r="I25" s="88">
        <f>+SUM($E$9:I9)</f>
        <v>0</v>
      </c>
      <c r="J25" s="88">
        <f>+SUM($E$9:J9)</f>
        <v>0</v>
      </c>
      <c r="K25" s="88">
        <f>+SUM($E$9:K9)</f>
        <v>0</v>
      </c>
      <c r="L25" s="88">
        <f>+SUM($E$9:L9)</f>
        <v>0</v>
      </c>
      <c r="M25" s="88">
        <f>+SUM($E$9:M9)</f>
        <v>0</v>
      </c>
      <c r="N25" s="88">
        <f>+SUM($E$9:N9)</f>
        <v>0</v>
      </c>
      <c r="O25" s="88">
        <f>+SUM($E$9:O9)</f>
        <v>0</v>
      </c>
      <c r="P25" s="88">
        <f>+SUM($E$9:P9)</f>
        <v>0</v>
      </c>
      <c r="Q25" s="88">
        <f>+SUM($E$9:Q9)</f>
        <v>0</v>
      </c>
      <c r="R25" s="88">
        <f>+SUM($E$9:R9)</f>
        <v>0</v>
      </c>
      <c r="S25" s="88">
        <f>+SUM($E$9:S9)</f>
        <v>0</v>
      </c>
      <c r="T25" s="88">
        <f>+SUM($E$9:T9)</f>
        <v>0</v>
      </c>
      <c r="U25" s="88">
        <f>+SUM($E$9:U9)</f>
        <v>0</v>
      </c>
      <c r="V25" s="88">
        <f>+SUM($E$9:V9)</f>
        <v>0</v>
      </c>
      <c r="W25" s="88">
        <f>+SUM($E$9:W9)</f>
        <v>0</v>
      </c>
      <c r="X25" s="88">
        <f>+SUM($E$9:X9)</f>
        <v>0</v>
      </c>
      <c r="Y25" s="88">
        <f>+SUM($E$9:Y9)</f>
        <v>0</v>
      </c>
      <c r="Z25" s="88">
        <f>+SUM($E$9:Z9)</f>
        <v>0</v>
      </c>
      <c r="AA25" s="88">
        <f>+SUM($E$9:AA9)</f>
        <v>0</v>
      </c>
      <c r="AB25" s="88">
        <f>+SUM($E$9:AB9)</f>
        <v>0</v>
      </c>
      <c r="AC25" s="88">
        <f>+SUM($E$9:AC9)</f>
        <v>0</v>
      </c>
      <c r="AD25" s="88">
        <f>+SUM($E$9:AD9)</f>
        <v>0</v>
      </c>
      <c r="AE25" s="88">
        <f>+SUM($E$9:AE9)</f>
        <v>0</v>
      </c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</row>
    <row r="26" spans="1:57" x14ac:dyDescent="0.25">
      <c r="A26" s="81" t="s">
        <v>1</v>
      </c>
      <c r="B26" s="81" t="s">
        <v>138</v>
      </c>
      <c r="C26" s="81" t="s">
        <v>119</v>
      </c>
      <c r="D26" s="70">
        <v>26</v>
      </c>
      <c r="E26" s="88">
        <f>+E13</f>
        <v>0</v>
      </c>
      <c r="F26" s="88">
        <f>+SUM($E$13:F13)</f>
        <v>0</v>
      </c>
      <c r="G26" s="88">
        <f>+SUM($E$13:G13)</f>
        <v>0</v>
      </c>
      <c r="H26" s="88">
        <f>+SUM($E$13:H13)</f>
        <v>0</v>
      </c>
      <c r="I26" s="88">
        <f>+SUM($E$13:I13)</f>
        <v>0</v>
      </c>
      <c r="J26" s="88">
        <f>+SUM($E$13:J13)</f>
        <v>0</v>
      </c>
      <c r="K26" s="88">
        <f>+SUM($E$13:K13)</f>
        <v>0</v>
      </c>
      <c r="L26" s="88">
        <f>+SUM($E$13:L13)</f>
        <v>0</v>
      </c>
      <c r="M26" s="88">
        <f>+SUM($E$13:M13)</f>
        <v>0</v>
      </c>
      <c r="N26" s="88">
        <f>+SUM($E$13:N13)</f>
        <v>0</v>
      </c>
      <c r="O26" s="88">
        <f>+SUM($E$13:O13)</f>
        <v>0</v>
      </c>
      <c r="P26" s="88">
        <f>+SUM($E$13:P13)</f>
        <v>0</v>
      </c>
      <c r="Q26" s="88">
        <f>+SUM($E$13:Q13)</f>
        <v>0</v>
      </c>
      <c r="R26" s="88">
        <f>+SUM($E$13:R13)</f>
        <v>0</v>
      </c>
      <c r="S26" s="88">
        <f>+SUM($E$13:S13)</f>
        <v>0</v>
      </c>
      <c r="T26" s="88">
        <f>+SUM($E$13:T13)</f>
        <v>0</v>
      </c>
      <c r="U26" s="88">
        <f>+SUM($E$13:U13)</f>
        <v>0</v>
      </c>
      <c r="V26" s="88">
        <f>+SUM($E$13:V13)</f>
        <v>0</v>
      </c>
      <c r="W26" s="88">
        <f>+SUM($E$13:W13)</f>
        <v>0</v>
      </c>
      <c r="X26" s="88">
        <f>+SUM($E$13:X13)</f>
        <v>0</v>
      </c>
      <c r="Y26" s="88">
        <f>+SUM($E$13:Y13)</f>
        <v>0</v>
      </c>
      <c r="Z26" s="88">
        <f>+SUM($E$13:Z13)</f>
        <v>0</v>
      </c>
      <c r="AA26" s="88">
        <f>+SUM($E$13:AA13)</f>
        <v>0</v>
      </c>
      <c r="AB26" s="88">
        <f>+SUM($E$13:AB13)</f>
        <v>0</v>
      </c>
      <c r="AC26" s="88">
        <f>+SUM($E$13:AC13)</f>
        <v>0</v>
      </c>
      <c r="AD26" s="88">
        <f>+SUM($E$13:AD13)</f>
        <v>0</v>
      </c>
      <c r="AE26" s="88">
        <f>+SUM($E$13:AE13)</f>
        <v>0</v>
      </c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</row>
    <row r="27" spans="1:57" x14ac:dyDescent="0.25">
      <c r="C27" s="1"/>
      <c r="D27" s="70">
        <v>27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</row>
    <row r="28" spans="1:57" x14ac:dyDescent="0.25">
      <c r="A28" s="81" t="s">
        <v>1</v>
      </c>
      <c r="B28" s="81" t="s">
        <v>139</v>
      </c>
      <c r="C28" s="81" t="s">
        <v>92</v>
      </c>
      <c r="D28" s="70">
        <v>28</v>
      </c>
      <c r="E28" s="88">
        <f>+E5+E6</f>
        <v>0</v>
      </c>
      <c r="F28" s="88">
        <f t="shared" ref="F28:AE28" si="1">+E28+F5+F6-F8</f>
        <v>0</v>
      </c>
      <c r="G28" s="88">
        <f t="shared" si="1"/>
        <v>0</v>
      </c>
      <c r="H28" s="88">
        <f t="shared" si="1"/>
        <v>0</v>
      </c>
      <c r="I28" s="88">
        <f t="shared" si="1"/>
        <v>0</v>
      </c>
      <c r="J28" s="88">
        <f t="shared" si="1"/>
        <v>0</v>
      </c>
      <c r="K28" s="88">
        <f t="shared" si="1"/>
        <v>0</v>
      </c>
      <c r="L28" s="88">
        <f t="shared" si="1"/>
        <v>0</v>
      </c>
      <c r="M28" s="88">
        <f t="shared" si="1"/>
        <v>0</v>
      </c>
      <c r="N28" s="88">
        <f t="shared" si="1"/>
        <v>0</v>
      </c>
      <c r="O28" s="88">
        <f t="shared" si="1"/>
        <v>0</v>
      </c>
      <c r="P28" s="88">
        <f t="shared" si="1"/>
        <v>0</v>
      </c>
      <c r="Q28" s="88">
        <f t="shared" si="1"/>
        <v>0</v>
      </c>
      <c r="R28" s="88">
        <f t="shared" si="1"/>
        <v>0</v>
      </c>
      <c r="S28" s="88">
        <f t="shared" si="1"/>
        <v>0</v>
      </c>
      <c r="T28" s="88">
        <f t="shared" si="1"/>
        <v>0</v>
      </c>
      <c r="U28" s="88">
        <f t="shared" si="1"/>
        <v>0</v>
      </c>
      <c r="V28" s="88">
        <f t="shared" si="1"/>
        <v>0</v>
      </c>
      <c r="W28" s="88">
        <f t="shared" si="1"/>
        <v>0</v>
      </c>
      <c r="X28" s="88">
        <f t="shared" si="1"/>
        <v>0</v>
      </c>
      <c r="Y28" s="88">
        <f t="shared" si="1"/>
        <v>0</v>
      </c>
      <c r="Z28" s="88">
        <f t="shared" si="1"/>
        <v>0</v>
      </c>
      <c r="AA28" s="88">
        <f t="shared" si="1"/>
        <v>0</v>
      </c>
      <c r="AB28" s="88">
        <f t="shared" si="1"/>
        <v>0</v>
      </c>
      <c r="AC28" s="88">
        <f t="shared" si="1"/>
        <v>0</v>
      </c>
      <c r="AD28" s="88">
        <f t="shared" si="1"/>
        <v>0</v>
      </c>
      <c r="AE28" s="88">
        <f t="shared" si="1"/>
        <v>0</v>
      </c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</row>
    <row r="29" spans="1:57" x14ac:dyDescent="0.25">
      <c r="A29" s="81" t="s">
        <v>1</v>
      </c>
      <c r="B29" s="81" t="s">
        <v>138</v>
      </c>
      <c r="C29" s="81" t="s">
        <v>93</v>
      </c>
      <c r="D29" s="70">
        <v>29</v>
      </c>
      <c r="E29" s="88">
        <f>+E5+E6</f>
        <v>0</v>
      </c>
      <c r="F29" s="88">
        <f t="shared" ref="F29:AE29" si="2">+E29+F5+F6-F9-F10</f>
        <v>0</v>
      </c>
      <c r="G29" s="88">
        <f t="shared" si="2"/>
        <v>0</v>
      </c>
      <c r="H29" s="88">
        <f t="shared" si="2"/>
        <v>0</v>
      </c>
      <c r="I29" s="88">
        <f t="shared" si="2"/>
        <v>0</v>
      </c>
      <c r="J29" s="88">
        <f t="shared" si="2"/>
        <v>0</v>
      </c>
      <c r="K29" s="88">
        <f t="shared" si="2"/>
        <v>0</v>
      </c>
      <c r="L29" s="88">
        <f t="shared" si="2"/>
        <v>0</v>
      </c>
      <c r="M29" s="88">
        <f t="shared" si="2"/>
        <v>0</v>
      </c>
      <c r="N29" s="88">
        <f t="shared" si="2"/>
        <v>0</v>
      </c>
      <c r="O29" s="88">
        <f t="shared" si="2"/>
        <v>0</v>
      </c>
      <c r="P29" s="88">
        <f t="shared" si="2"/>
        <v>0</v>
      </c>
      <c r="Q29" s="88">
        <f t="shared" si="2"/>
        <v>0</v>
      </c>
      <c r="R29" s="88">
        <f t="shared" si="2"/>
        <v>0</v>
      </c>
      <c r="S29" s="88">
        <f t="shared" si="2"/>
        <v>0</v>
      </c>
      <c r="T29" s="88">
        <f t="shared" si="2"/>
        <v>0</v>
      </c>
      <c r="U29" s="88">
        <f t="shared" si="2"/>
        <v>0</v>
      </c>
      <c r="V29" s="88">
        <f t="shared" si="2"/>
        <v>0</v>
      </c>
      <c r="W29" s="88">
        <f t="shared" si="2"/>
        <v>0</v>
      </c>
      <c r="X29" s="88">
        <f t="shared" si="2"/>
        <v>0</v>
      </c>
      <c r="Y29" s="88">
        <f t="shared" si="2"/>
        <v>0</v>
      </c>
      <c r="Z29" s="88">
        <f t="shared" si="2"/>
        <v>0</v>
      </c>
      <c r="AA29" s="88">
        <f t="shared" si="2"/>
        <v>0</v>
      </c>
      <c r="AB29" s="88">
        <f t="shared" si="2"/>
        <v>0</v>
      </c>
      <c r="AC29" s="88">
        <f t="shared" si="2"/>
        <v>0</v>
      </c>
      <c r="AD29" s="88">
        <f t="shared" si="2"/>
        <v>0</v>
      </c>
      <c r="AE29" s="88">
        <f t="shared" si="2"/>
        <v>0</v>
      </c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</row>
    <row r="30" spans="1:57" x14ac:dyDescent="0.25">
      <c r="C30" s="1"/>
      <c r="D30" s="70">
        <v>30</v>
      </c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</row>
    <row r="31" spans="1:57" x14ac:dyDescent="0.25">
      <c r="A31" s="81" t="s">
        <v>1</v>
      </c>
      <c r="B31" s="81" t="s">
        <v>138</v>
      </c>
      <c r="C31" s="81" t="s">
        <v>94</v>
      </c>
      <c r="D31" s="70">
        <v>31</v>
      </c>
      <c r="E31" s="88">
        <f t="shared" ref="E31:AE31" si="3">+E28+E16</f>
        <v>0</v>
      </c>
      <c r="F31" s="88">
        <f t="shared" si="3"/>
        <v>0</v>
      </c>
      <c r="G31" s="88">
        <f t="shared" si="3"/>
        <v>0</v>
      </c>
      <c r="H31" s="88">
        <f t="shared" si="3"/>
        <v>0</v>
      </c>
      <c r="I31" s="88">
        <f t="shared" si="3"/>
        <v>0</v>
      </c>
      <c r="J31" s="88">
        <f t="shared" si="3"/>
        <v>0</v>
      </c>
      <c r="K31" s="88">
        <f t="shared" si="3"/>
        <v>0</v>
      </c>
      <c r="L31" s="88">
        <f t="shared" si="3"/>
        <v>0</v>
      </c>
      <c r="M31" s="88">
        <f t="shared" si="3"/>
        <v>0</v>
      </c>
      <c r="N31" s="88">
        <f t="shared" si="3"/>
        <v>0</v>
      </c>
      <c r="O31" s="88">
        <f t="shared" si="3"/>
        <v>0</v>
      </c>
      <c r="P31" s="88">
        <f t="shared" si="3"/>
        <v>0</v>
      </c>
      <c r="Q31" s="88">
        <f t="shared" si="3"/>
        <v>0</v>
      </c>
      <c r="R31" s="88">
        <f t="shared" si="3"/>
        <v>0</v>
      </c>
      <c r="S31" s="88">
        <f t="shared" si="3"/>
        <v>0</v>
      </c>
      <c r="T31" s="88">
        <f t="shared" si="3"/>
        <v>0</v>
      </c>
      <c r="U31" s="88">
        <f t="shared" si="3"/>
        <v>0</v>
      </c>
      <c r="V31" s="88">
        <f t="shared" si="3"/>
        <v>0</v>
      </c>
      <c r="W31" s="88">
        <f t="shared" si="3"/>
        <v>0</v>
      </c>
      <c r="X31" s="88">
        <f t="shared" si="3"/>
        <v>0</v>
      </c>
      <c r="Y31" s="88">
        <f t="shared" si="3"/>
        <v>0</v>
      </c>
      <c r="Z31" s="88">
        <f t="shared" si="3"/>
        <v>0</v>
      </c>
      <c r="AA31" s="88">
        <f t="shared" si="3"/>
        <v>0</v>
      </c>
      <c r="AB31" s="88">
        <f t="shared" si="3"/>
        <v>0</v>
      </c>
      <c r="AC31" s="88">
        <f t="shared" si="3"/>
        <v>0</v>
      </c>
      <c r="AD31" s="88">
        <f t="shared" si="3"/>
        <v>0</v>
      </c>
      <c r="AE31" s="88">
        <f t="shared" si="3"/>
        <v>0</v>
      </c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</row>
    <row r="32" spans="1:57" x14ac:dyDescent="0.25">
      <c r="C32" s="1"/>
      <c r="D32" s="70">
        <v>32</v>
      </c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</row>
    <row r="33" spans="1:57" x14ac:dyDescent="0.25">
      <c r="A33" s="81" t="s">
        <v>1</v>
      </c>
      <c r="B33" s="81" t="s">
        <v>138</v>
      </c>
      <c r="C33" s="81" t="s">
        <v>96</v>
      </c>
      <c r="D33" s="70">
        <v>33</v>
      </c>
      <c r="E33" s="88">
        <f>+E8-E9-E10</f>
        <v>0</v>
      </c>
      <c r="F33" s="88">
        <f>+SUM($E$8:F8)-SUM($E$9:F10)</f>
        <v>0</v>
      </c>
      <c r="G33" s="88">
        <f>+SUM($E$8:G8)-SUM($E$9:G10)</f>
        <v>0</v>
      </c>
      <c r="H33" s="88">
        <f>+SUM($E$8:H8)-SUM($E$9:H10)</f>
        <v>0</v>
      </c>
      <c r="I33" s="88">
        <f>+SUM($E$8:I8)-SUM($E$9:I10)</f>
        <v>0</v>
      </c>
      <c r="J33" s="88">
        <f>+SUM($E$8:J8)-SUM($E$9:J10)</f>
        <v>0</v>
      </c>
      <c r="K33" s="88">
        <f>+SUM($E$8:K8)-SUM($E$9:K10)</f>
        <v>0</v>
      </c>
      <c r="L33" s="88">
        <f>+SUM($E$8:L8)-SUM($E$9:L10)</f>
        <v>0</v>
      </c>
      <c r="M33" s="88">
        <f>+SUM($E$8:M8)-SUM($E$9:M10)</f>
        <v>0</v>
      </c>
      <c r="N33" s="88">
        <f>+SUM($E$8:N8)-SUM($E$9:N10)</f>
        <v>0</v>
      </c>
      <c r="O33" s="88">
        <f>+SUM($E$8:O8)-SUM($E$9:O10)</f>
        <v>0</v>
      </c>
      <c r="P33" s="88">
        <f>+SUM($E$8:P8)-SUM($E$9:P10)</f>
        <v>0</v>
      </c>
      <c r="Q33" s="88">
        <f>+SUM($E$8:Q8)-SUM($E$9:Q10)</f>
        <v>0</v>
      </c>
      <c r="R33" s="88">
        <f>+SUM($E$8:R8)-SUM($E$9:R10)</f>
        <v>0</v>
      </c>
      <c r="S33" s="88">
        <f>+SUM($E$8:S8)-SUM($E$9:S10)</f>
        <v>0</v>
      </c>
      <c r="T33" s="88">
        <f>+SUM($E$8:T8)-SUM($E$9:T10)</f>
        <v>0</v>
      </c>
      <c r="U33" s="88">
        <f>+SUM($E$8:U8)-SUM($E$9:U10)</f>
        <v>0</v>
      </c>
      <c r="V33" s="88">
        <f>+SUM($E$8:V8)-SUM($E$9:V10)</f>
        <v>0</v>
      </c>
      <c r="W33" s="88">
        <f>+SUM($E$8:W8)-SUM($E$9:W10)</f>
        <v>0</v>
      </c>
      <c r="X33" s="88">
        <f>+SUM($E$8:X8)-SUM($E$9:X10)</f>
        <v>0</v>
      </c>
      <c r="Y33" s="88">
        <f>+SUM($E$8:Y8)-SUM($E$9:Y10)</f>
        <v>0</v>
      </c>
      <c r="Z33" s="88">
        <f>+SUM($E$8:Z8)-SUM($E$9:Z10)</f>
        <v>0</v>
      </c>
      <c r="AA33" s="88">
        <f>+SUM($E$8:AA8)-SUM($E$9:AA10)</f>
        <v>0</v>
      </c>
      <c r="AB33" s="88">
        <f>+SUM($E$8:AB8)-SUM($E$9:AB10)</f>
        <v>0</v>
      </c>
      <c r="AC33" s="88">
        <f>+SUM($E$8:AC8)-SUM($E$9:AC10)</f>
        <v>0</v>
      </c>
      <c r="AD33" s="88">
        <f>+SUM($E$8:AD8)-SUM($E$9:AD10)</f>
        <v>0</v>
      </c>
      <c r="AE33" s="88">
        <f>+SUM($E$8:AE8)-SUM($E$9:AE10)</f>
        <v>0</v>
      </c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</row>
    <row r="34" spans="1:57" x14ac:dyDescent="0.25">
      <c r="A34" s="81" t="s">
        <v>1</v>
      </c>
      <c r="B34" s="81" t="s">
        <v>138</v>
      </c>
      <c r="C34" s="81" t="s">
        <v>95</v>
      </c>
      <c r="D34" s="70">
        <v>34</v>
      </c>
      <c r="E34" s="88">
        <f>+E12-E13-E14</f>
        <v>0</v>
      </c>
      <c r="F34" s="88">
        <f>+SUM($E$12:F12)-SUM($E$13:F14)</f>
        <v>0</v>
      </c>
      <c r="G34" s="88">
        <f>+SUM($E$12:G12)-SUM($E$13:G14)</f>
        <v>0</v>
      </c>
      <c r="H34" s="88">
        <f>+SUM($E$12:H12)-SUM($E$13:H14)</f>
        <v>0</v>
      </c>
      <c r="I34" s="88">
        <f>+SUM($E$12:I12)-SUM($E$13:I14)</f>
        <v>0</v>
      </c>
      <c r="J34" s="88">
        <f>+SUM($E$12:J12)-SUM($E$13:J14)</f>
        <v>0</v>
      </c>
      <c r="K34" s="88">
        <f>+SUM($E$12:K12)-SUM($E$13:K14)</f>
        <v>0</v>
      </c>
      <c r="L34" s="88">
        <f>+SUM($E$12:L12)-SUM($E$13:L14)</f>
        <v>0</v>
      </c>
      <c r="M34" s="88">
        <f>+SUM($E$12:M12)-SUM($E$13:M14)</f>
        <v>0</v>
      </c>
      <c r="N34" s="88">
        <f>+SUM($E$12:N12)-SUM($E$13:N14)</f>
        <v>0</v>
      </c>
      <c r="O34" s="88">
        <f>+SUM($E$12:O12)-SUM($E$13:O14)</f>
        <v>0</v>
      </c>
      <c r="P34" s="88">
        <f>+SUM($E$12:P12)-SUM($E$13:P14)</f>
        <v>0</v>
      </c>
      <c r="Q34" s="88">
        <f>+SUM($E$12:Q12)-SUM($E$13:Q14)</f>
        <v>0</v>
      </c>
      <c r="R34" s="88">
        <f>+SUM($E$12:R12)-SUM($E$13:R14)</f>
        <v>0</v>
      </c>
      <c r="S34" s="88">
        <f>+SUM($E$12:S12)-SUM($E$13:S14)</f>
        <v>0</v>
      </c>
      <c r="T34" s="88">
        <f>+SUM($E$12:T12)-SUM($E$13:T14)</f>
        <v>0</v>
      </c>
      <c r="U34" s="88">
        <f>+SUM($E$12:U12)-SUM($E$13:U14)</f>
        <v>0</v>
      </c>
      <c r="V34" s="88">
        <f>+SUM($E$12:V12)-SUM($E$13:V14)</f>
        <v>0</v>
      </c>
      <c r="W34" s="88">
        <f>+SUM($E$12:W12)-SUM($E$13:W14)</f>
        <v>0</v>
      </c>
      <c r="X34" s="88">
        <f>+SUM($E$12:X12)-SUM($E$13:X14)</f>
        <v>0</v>
      </c>
      <c r="Y34" s="88">
        <f>+SUM($E$12:Y12)-SUM($E$13:Y14)</f>
        <v>0</v>
      </c>
      <c r="Z34" s="88">
        <f>+SUM($E$12:Z12)-SUM($E$13:Z14)</f>
        <v>0</v>
      </c>
      <c r="AA34" s="88">
        <f>+SUM($E$12:AA12)-SUM($E$13:AA14)</f>
        <v>0</v>
      </c>
      <c r="AB34" s="88">
        <f>+SUM($E$12:AB12)-SUM($E$13:AB14)</f>
        <v>0</v>
      </c>
      <c r="AC34" s="88">
        <f>+SUM($E$12:AC12)-SUM($E$13:AC14)</f>
        <v>0</v>
      </c>
      <c r="AD34" s="88">
        <f>+SUM($E$12:AD12)-SUM($E$13:AD14)</f>
        <v>0</v>
      </c>
      <c r="AE34" s="88">
        <f>+SUM($E$12:AE12)-SUM($E$13:AE14)</f>
        <v>0</v>
      </c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</row>
    <row r="35" spans="1:57" x14ac:dyDescent="0.25">
      <c r="D35" s="70">
        <v>35</v>
      </c>
    </row>
    <row r="36" spans="1:57" x14ac:dyDescent="0.25">
      <c r="A36" s="81" t="s">
        <v>1</v>
      </c>
      <c r="B36" s="81" t="s">
        <v>138</v>
      </c>
      <c r="C36" s="81" t="s">
        <v>117</v>
      </c>
      <c r="D36" s="70">
        <v>36</v>
      </c>
      <c r="E36" s="88">
        <f>+E8-E9-E10+E17</f>
        <v>0</v>
      </c>
      <c r="F36" s="88">
        <f>+SUM($E$8:F8)-SUM($E$9:F10)-SUM($E$17:F17)</f>
        <v>0</v>
      </c>
      <c r="G36" s="88">
        <f>+SUM($E$8:G8)-SUM($E$9:G10)-SUM($E$17:G17)</f>
        <v>0</v>
      </c>
      <c r="H36" s="88">
        <f>+SUM($E$8:H8)-SUM($E$9:H10)-SUM($E$17:H17)</f>
        <v>0</v>
      </c>
      <c r="I36" s="88">
        <f>+SUM($E$8:I8)-SUM($E$9:I10)-SUM($E$17:I17)</f>
        <v>0</v>
      </c>
      <c r="J36" s="88">
        <f>+SUM($E$8:J8)-SUM($E$9:J10)-SUM($E$17:J17)</f>
        <v>0</v>
      </c>
      <c r="K36" s="88">
        <f>+SUM($E$8:K8)-SUM($E$9:K10)-SUM($E$17:K17)</f>
        <v>0</v>
      </c>
      <c r="L36" s="88">
        <f>+SUM($E$8:L8)-SUM($E$9:L10)-SUM($E$17:L17)</f>
        <v>0</v>
      </c>
      <c r="M36" s="88">
        <f>+SUM($E$8:M8)-SUM($E$9:M10)-SUM($E$17:M17)</f>
        <v>0</v>
      </c>
      <c r="N36" s="88">
        <f>+SUM($E$8:N8)-SUM($E$9:N10)-SUM($E$17:N17)</f>
        <v>0</v>
      </c>
      <c r="O36" s="88">
        <f>+SUM($E$8:O8)-SUM($E$9:O10)-SUM($E$17:O17)</f>
        <v>0</v>
      </c>
      <c r="P36" s="88">
        <f>+SUM($E$8:P8)-SUM($E$9:P10)-SUM($E$17:P17)</f>
        <v>0</v>
      </c>
      <c r="Q36" s="88">
        <f>+SUM($E$8:Q8)-SUM($E$9:Q10)-SUM($E$17:Q17)</f>
        <v>0</v>
      </c>
      <c r="R36" s="88">
        <f>+SUM($E$8:R8)-SUM($E$9:R10)-SUM($E$17:R17)</f>
        <v>0</v>
      </c>
      <c r="S36" s="88">
        <f>+SUM($E$8:S8)-SUM($E$9:S10)-SUM($E$17:S17)</f>
        <v>0</v>
      </c>
      <c r="T36" s="88">
        <f>+SUM($E$8:T8)-SUM($E$9:T10)-SUM($E$17:T17)</f>
        <v>0</v>
      </c>
      <c r="U36" s="88">
        <f>+SUM($E$8:U8)-SUM($E$9:U10)-SUM($E$17:U17)</f>
        <v>0</v>
      </c>
      <c r="V36" s="88">
        <f>+SUM($E$8:V8)-SUM($E$9:V10)-SUM($E$17:V17)</f>
        <v>0</v>
      </c>
      <c r="W36" s="88">
        <f>+SUM($E$8:W8)-SUM($E$9:W10)-SUM($E$17:W17)</f>
        <v>0</v>
      </c>
      <c r="X36" s="88">
        <f>+SUM($E$8:X8)-SUM($E$9:X10)-SUM($E$17:X17)</f>
        <v>0</v>
      </c>
      <c r="Y36" s="88">
        <f>+SUM($E$8:Y8)-SUM($E$9:Y10)-SUM($E$17:Y17)</f>
        <v>0</v>
      </c>
      <c r="Z36" s="88">
        <f>+SUM($E$8:Z8)-SUM($E$9:Z10)-SUM($E$17:Z17)</f>
        <v>0</v>
      </c>
      <c r="AA36" s="88">
        <f>+SUM($E$8:AA8)-SUM($E$9:AA10)-SUM($E$17:AA17)</f>
        <v>0</v>
      </c>
      <c r="AB36" s="88">
        <f>+SUM($E$8:AB8)-SUM($E$9:AB10)-SUM($E$17:AB17)</f>
        <v>0</v>
      </c>
      <c r="AC36" s="88">
        <f>+SUM($E$8:AC8)-SUM($E$9:AC10)-SUM($E$17:AC17)</f>
        <v>0</v>
      </c>
      <c r="AD36" s="88">
        <f>+SUM($E$8:AD8)-SUM($E$9:AD10)-SUM($E$17:AD17)</f>
        <v>0</v>
      </c>
      <c r="AE36" s="88">
        <f>+SUM($E$8:AE8)-SUM($E$9:AE10)-SUM($E$17:AE17)</f>
        <v>0</v>
      </c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</row>
    <row r="37" spans="1:57" x14ac:dyDescent="0.25">
      <c r="A37" s="81" t="s">
        <v>1</v>
      </c>
      <c r="B37" s="81" t="s">
        <v>138</v>
      </c>
      <c r="C37" s="81" t="s">
        <v>116</v>
      </c>
      <c r="D37" s="70">
        <v>37</v>
      </c>
      <c r="E37" s="88">
        <f>+E12-E13-E14+E18</f>
        <v>0</v>
      </c>
      <c r="F37" s="88">
        <f>+SUM($E$12:F12)-SUM($E$13:F14)-SUM($E$18:F18)</f>
        <v>0</v>
      </c>
      <c r="G37" s="88">
        <f>+SUM($E$12:G12)-SUM($E$13:G14)-SUM($E$18:G18)</f>
        <v>0</v>
      </c>
      <c r="H37" s="88">
        <f>+SUM($E$12:H12)-SUM($E$13:H14)-SUM($E$18:H18)</f>
        <v>0</v>
      </c>
      <c r="I37" s="88">
        <f>+SUM($E$12:I12)-SUM($E$13:I14)-SUM($E$18:I18)</f>
        <v>0</v>
      </c>
      <c r="J37" s="88">
        <f>+SUM($E$12:J12)-SUM($E$13:J14)-SUM($E$18:J18)</f>
        <v>0</v>
      </c>
      <c r="K37" s="88">
        <f>+SUM($E$12:K12)-SUM($E$13:K14)-SUM($E$18:K18)</f>
        <v>0</v>
      </c>
      <c r="L37" s="88">
        <f>+SUM($E$12:L12)-SUM($E$13:L14)-SUM($E$18:L18)</f>
        <v>0</v>
      </c>
      <c r="M37" s="88">
        <f>+SUM($E$12:M12)-SUM($E$13:M14)-SUM($E$18:M18)</f>
        <v>0</v>
      </c>
      <c r="N37" s="88">
        <f>+SUM($E$12:N12)-SUM($E$13:N14)-SUM($E$18:N18)</f>
        <v>0</v>
      </c>
      <c r="O37" s="88">
        <f>+SUM($E$12:O12)-SUM($E$13:O14)-SUM($E$18:O18)</f>
        <v>0</v>
      </c>
      <c r="P37" s="88">
        <f>+SUM($E$12:P12)-SUM($E$13:P14)-SUM($E$18:P18)</f>
        <v>0</v>
      </c>
      <c r="Q37" s="88">
        <f>+SUM($E$12:Q12)-SUM($E$13:Q14)-SUM($E$18:Q18)</f>
        <v>0</v>
      </c>
      <c r="R37" s="88">
        <f>+SUM($E$12:R12)-SUM($E$13:R14)-SUM($E$18:R18)</f>
        <v>0</v>
      </c>
      <c r="S37" s="88">
        <f>+SUM($E$12:S12)-SUM($E$13:S14)-SUM($E$18:S18)</f>
        <v>0</v>
      </c>
      <c r="T37" s="88">
        <f>+SUM($E$12:T12)-SUM($E$13:T14)-SUM($E$18:T18)</f>
        <v>0</v>
      </c>
      <c r="U37" s="88">
        <f>+SUM($E$12:U12)-SUM($E$13:U14)-SUM($E$18:U18)</f>
        <v>0</v>
      </c>
      <c r="V37" s="88">
        <f>+SUM($E$12:V12)-SUM($E$13:V14)-SUM($E$18:V18)</f>
        <v>0</v>
      </c>
      <c r="W37" s="88">
        <f>+SUM($E$12:W12)-SUM($E$13:W14)-SUM($E$18:W18)</f>
        <v>0</v>
      </c>
      <c r="X37" s="88">
        <f>+SUM($E$12:X12)-SUM($E$13:X14)-SUM($E$18:X18)</f>
        <v>0</v>
      </c>
      <c r="Y37" s="88">
        <f>+SUM($E$12:Y12)-SUM($E$13:Y14)-SUM($E$18:Y18)</f>
        <v>0</v>
      </c>
      <c r="Z37" s="88">
        <f>+SUM($E$12:Z12)-SUM($E$13:Z14)-SUM($E$18:Z18)</f>
        <v>0</v>
      </c>
      <c r="AA37" s="88">
        <f>+SUM($E$12:AA12)-SUM($E$13:AA14)-SUM($E$18:AA18)</f>
        <v>0</v>
      </c>
      <c r="AB37" s="88">
        <f>+SUM($E$12:AB12)-SUM($E$13:AB14)-SUM($E$18:AB18)</f>
        <v>0</v>
      </c>
      <c r="AC37" s="88">
        <f>+SUM($E$12:AC12)-SUM($E$13:AC14)-SUM($E$18:AC18)</f>
        <v>0</v>
      </c>
      <c r="AD37" s="88">
        <f>+SUM($E$12:AD12)-SUM($E$13:AD14)-SUM($E$18:AD18)</f>
        <v>0</v>
      </c>
      <c r="AE37" s="88">
        <f>+SUM($E$12:AE12)-SUM($E$13:AE14)-SUM($E$18:AE18)</f>
        <v>0</v>
      </c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</row>
    <row r="38" spans="1:57" x14ac:dyDescent="0.25">
      <c r="D38" s="70">
        <v>38</v>
      </c>
    </row>
    <row r="39" spans="1:57" x14ac:dyDescent="0.25">
      <c r="D39" s="70">
        <v>39</v>
      </c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</row>
    <row r="40" spans="1:57" x14ac:dyDescent="0.25">
      <c r="D40" s="70">
        <v>40</v>
      </c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</row>
    <row r="41" spans="1:57" x14ac:dyDescent="0.25">
      <c r="D41" s="70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</row>
    <row r="42" spans="1:57" x14ac:dyDescent="0.25">
      <c r="D42" s="70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</row>
    <row r="43" spans="1:57" x14ac:dyDescent="0.25">
      <c r="D43" s="70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</row>
    <row r="44" spans="1:57" x14ac:dyDescent="0.25">
      <c r="D44" s="70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</row>
    <row r="45" spans="1:57" x14ac:dyDescent="0.25">
      <c r="D45" s="70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</row>
    <row r="46" spans="1:57" x14ac:dyDescent="0.25">
      <c r="D46" s="70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</row>
    <row r="47" spans="1:57" x14ac:dyDescent="0.25">
      <c r="D47" s="70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</row>
    <row r="48" spans="1:57" x14ac:dyDescent="0.25">
      <c r="D48" s="70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</row>
    <row r="49" spans="4:57" x14ac:dyDescent="0.25">
      <c r="D49" s="70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</row>
    <row r="50" spans="4:57" x14ac:dyDescent="0.25">
      <c r="D50" s="70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</row>
    <row r="51" spans="4:57" x14ac:dyDescent="0.25">
      <c r="D51" s="70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</row>
    <row r="52" spans="4:57" x14ac:dyDescent="0.25">
      <c r="D52" s="70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</row>
    <row r="53" spans="4:57" x14ac:dyDescent="0.25">
      <c r="D53" s="70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</row>
    <row r="54" spans="4:57" x14ac:dyDescent="0.25">
      <c r="D54" s="70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</row>
    <row r="55" spans="4:57" x14ac:dyDescent="0.25">
      <c r="D55" s="70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</row>
    <row r="56" spans="4:57" x14ac:dyDescent="0.25">
      <c r="D56" s="70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</row>
    <row r="57" spans="4:57" x14ac:dyDescent="0.25">
      <c r="D57" s="70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</row>
    <row r="58" spans="4:57" x14ac:dyDescent="0.25">
      <c r="D58" s="70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</row>
    <row r="59" spans="4:57" x14ac:dyDescent="0.25">
      <c r="D59" s="70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</row>
    <row r="60" spans="4:57" x14ac:dyDescent="0.25">
      <c r="D60" s="70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</row>
    <row r="61" spans="4:57" x14ac:dyDescent="0.25">
      <c r="D61" s="70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</row>
    <row r="62" spans="4:57" x14ac:dyDescent="0.25">
      <c r="D62" s="70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</row>
    <row r="63" spans="4:57" x14ac:dyDescent="0.25">
      <c r="D63" s="70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</row>
    <row r="64" spans="4:57" x14ac:dyDescent="0.25">
      <c r="D64" s="70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</row>
    <row r="65" spans="4:57" x14ac:dyDescent="0.25">
      <c r="D65" s="70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</row>
    <row r="66" spans="4:57" x14ac:dyDescent="0.25">
      <c r="D66" s="70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</row>
    <row r="67" spans="4:57" x14ac:dyDescent="0.25">
      <c r="D67" s="70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</row>
    <row r="68" spans="4:57" x14ac:dyDescent="0.25">
      <c r="D68" s="70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</row>
    <row r="69" spans="4:57" x14ac:dyDescent="0.25">
      <c r="D69" s="70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</row>
    <row r="70" spans="4:57" x14ac:dyDescent="0.25">
      <c r="D70" s="70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</row>
    <row r="71" spans="4:57" x14ac:dyDescent="0.25">
      <c r="D71" s="70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</row>
    <row r="72" spans="4:57" x14ac:dyDescent="0.25">
      <c r="D72" s="70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</row>
    <row r="73" spans="4:57" x14ac:dyDescent="0.25">
      <c r="D73" s="70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</row>
    <row r="74" spans="4:57" x14ac:dyDescent="0.25">
      <c r="D74" s="70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</row>
    <row r="75" spans="4:57" x14ac:dyDescent="0.25">
      <c r="D75" s="70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</row>
    <row r="76" spans="4:57" x14ac:dyDescent="0.25">
      <c r="D76" s="70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</row>
    <row r="77" spans="4:57" x14ac:dyDescent="0.25">
      <c r="D77" s="70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</row>
    <row r="78" spans="4:57" x14ac:dyDescent="0.25">
      <c r="D78" s="70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</row>
    <row r="79" spans="4:57" x14ac:dyDescent="0.25">
      <c r="D79" s="70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</row>
    <row r="80" spans="4:57" x14ac:dyDescent="0.25">
      <c r="D80" s="70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</row>
    <row r="81" spans="4:57" x14ac:dyDescent="0.25">
      <c r="D81" s="70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</row>
    <row r="82" spans="4:57" x14ac:dyDescent="0.25">
      <c r="D82" s="70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</row>
    <row r="83" spans="4:57" x14ac:dyDescent="0.25">
      <c r="D83" s="70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</row>
    <row r="84" spans="4:57" x14ac:dyDescent="0.25">
      <c r="D84" s="70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</row>
    <row r="85" spans="4:57" x14ac:dyDescent="0.25">
      <c r="D85" s="70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</row>
    <row r="86" spans="4:57" x14ac:dyDescent="0.25">
      <c r="D86" s="70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</row>
    <row r="87" spans="4:57" x14ac:dyDescent="0.25">
      <c r="D87" s="70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</row>
    <row r="88" spans="4:57" x14ac:dyDescent="0.25">
      <c r="D88" s="70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</row>
    <row r="89" spans="4:57" x14ac:dyDescent="0.25">
      <c r="D89" s="70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</row>
    <row r="90" spans="4:57" x14ac:dyDescent="0.25">
      <c r="D90" s="70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</row>
    <row r="91" spans="4:57" x14ac:dyDescent="0.25">
      <c r="D91" s="70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</row>
    <row r="92" spans="4:57" x14ac:dyDescent="0.25">
      <c r="D92" s="70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</row>
    <row r="93" spans="4:57" x14ac:dyDescent="0.25">
      <c r="D93" s="70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</row>
    <row r="94" spans="4:57" x14ac:dyDescent="0.25">
      <c r="D94" s="70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</row>
    <row r="95" spans="4:57" x14ac:dyDescent="0.25">
      <c r="D95" s="70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</row>
    <row r="96" spans="4:57" x14ac:dyDescent="0.25">
      <c r="D96" s="70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</row>
    <row r="97" spans="4:57" x14ac:dyDescent="0.25">
      <c r="D97" s="70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</row>
    <row r="98" spans="4:57" x14ac:dyDescent="0.25">
      <c r="D98" s="70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  <c r="BE98" s="87"/>
    </row>
    <row r="99" spans="4:57" x14ac:dyDescent="0.25">
      <c r="D99" s="70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  <c r="BE99" s="87"/>
    </row>
    <row r="100" spans="4:57" x14ac:dyDescent="0.25">
      <c r="D100" s="70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</row>
    <row r="101" spans="4:57" x14ac:dyDescent="0.25">
      <c r="D101" s="70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</row>
    <row r="102" spans="4:57" x14ac:dyDescent="0.25"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  <c r="BE102" s="87"/>
    </row>
    <row r="103" spans="4:57" x14ac:dyDescent="0.25"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  <c r="BE103" s="87"/>
    </row>
    <row r="104" spans="4:57" x14ac:dyDescent="0.25"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</row>
    <row r="105" spans="4:57" x14ac:dyDescent="0.25"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</row>
    <row r="106" spans="4:57" x14ac:dyDescent="0.25"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</row>
    <row r="107" spans="4:57" x14ac:dyDescent="0.25"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</row>
    <row r="108" spans="4:57" x14ac:dyDescent="0.25"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</row>
    <row r="109" spans="4:57" x14ac:dyDescent="0.25"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</row>
    <row r="110" spans="4:57" x14ac:dyDescent="0.25"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</row>
    <row r="111" spans="4:57" x14ac:dyDescent="0.25"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</row>
    <row r="112" spans="4:57" x14ac:dyDescent="0.25"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</row>
    <row r="113" spans="5:57" x14ac:dyDescent="0.25"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</row>
    <row r="114" spans="5:57" x14ac:dyDescent="0.25"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</row>
    <row r="115" spans="5:57" x14ac:dyDescent="0.25"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</row>
    <row r="116" spans="5:57" x14ac:dyDescent="0.25"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</row>
    <row r="117" spans="5:57" x14ac:dyDescent="0.25"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</row>
    <row r="118" spans="5:57" x14ac:dyDescent="0.25"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</row>
    <row r="119" spans="5:57" x14ac:dyDescent="0.25"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  <c r="BE119" s="87"/>
    </row>
    <row r="120" spans="5:57" x14ac:dyDescent="0.25"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</row>
    <row r="121" spans="5:57" x14ac:dyDescent="0.25"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</row>
    <row r="122" spans="5:57" x14ac:dyDescent="0.25"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</row>
    <row r="123" spans="5:57" x14ac:dyDescent="0.25"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</row>
    <row r="124" spans="5:57" x14ac:dyDescent="0.25"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</row>
    <row r="125" spans="5:57" x14ac:dyDescent="0.25"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</row>
    <row r="126" spans="5:57" x14ac:dyDescent="0.25"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</row>
    <row r="127" spans="5:57" x14ac:dyDescent="0.25"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</row>
    <row r="128" spans="5:57" x14ac:dyDescent="0.25"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</row>
    <row r="129" spans="5:57" x14ac:dyDescent="0.25"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</row>
    <row r="130" spans="5:57" x14ac:dyDescent="0.25"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</row>
    <row r="131" spans="5:57" x14ac:dyDescent="0.25"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  <c r="BE131" s="87"/>
    </row>
    <row r="132" spans="5:57" x14ac:dyDescent="0.25"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  <c r="BE132" s="87"/>
    </row>
    <row r="133" spans="5:57" x14ac:dyDescent="0.25"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  <c r="BE133" s="87"/>
    </row>
    <row r="134" spans="5:57" x14ac:dyDescent="0.25"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  <c r="BE134" s="87"/>
    </row>
    <row r="135" spans="5:57" x14ac:dyDescent="0.25"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  <c r="BE135" s="87"/>
    </row>
    <row r="136" spans="5:57" x14ac:dyDescent="0.25"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  <c r="BE136" s="87"/>
    </row>
    <row r="137" spans="5:57" x14ac:dyDescent="0.25"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  <c r="BE137" s="87"/>
    </row>
    <row r="138" spans="5:57" x14ac:dyDescent="0.25"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  <c r="BE138" s="87"/>
    </row>
    <row r="139" spans="5:57" x14ac:dyDescent="0.25"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  <c r="BE139" s="87"/>
    </row>
    <row r="140" spans="5:57" x14ac:dyDescent="0.25"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  <c r="BE140" s="87"/>
    </row>
    <row r="141" spans="5:57" x14ac:dyDescent="0.25"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  <c r="BE141" s="87"/>
    </row>
    <row r="142" spans="5:57" x14ac:dyDescent="0.25"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</row>
    <row r="143" spans="5:57" x14ac:dyDescent="0.25"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  <c r="BE143" s="87"/>
    </row>
    <row r="144" spans="5:57" x14ac:dyDescent="0.25"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  <c r="BE144" s="87"/>
    </row>
    <row r="145" spans="5:57" x14ac:dyDescent="0.25"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  <c r="BE145" s="87"/>
    </row>
    <row r="146" spans="5:57" x14ac:dyDescent="0.25"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  <c r="BE146" s="87"/>
    </row>
    <row r="147" spans="5:57" x14ac:dyDescent="0.25"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  <c r="BE147" s="87"/>
    </row>
    <row r="148" spans="5:57" x14ac:dyDescent="0.25"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  <c r="BE148" s="87"/>
    </row>
    <row r="149" spans="5:57" x14ac:dyDescent="0.25"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  <c r="BE149" s="87"/>
    </row>
    <row r="150" spans="5:57" x14ac:dyDescent="0.25"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  <c r="BE150" s="87"/>
    </row>
    <row r="151" spans="5:57" x14ac:dyDescent="0.25"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  <c r="BE151" s="87"/>
    </row>
    <row r="152" spans="5:57" x14ac:dyDescent="0.25"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  <c r="BE152" s="87"/>
    </row>
    <row r="153" spans="5:57" x14ac:dyDescent="0.25"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  <c r="BE153" s="87"/>
    </row>
    <row r="154" spans="5:57" x14ac:dyDescent="0.25"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  <c r="BE154" s="87"/>
    </row>
    <row r="155" spans="5:57" x14ac:dyDescent="0.25"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  <c r="BE155" s="87"/>
    </row>
    <row r="156" spans="5:57" x14ac:dyDescent="0.25"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  <c r="BE156" s="87"/>
    </row>
    <row r="157" spans="5:57" x14ac:dyDescent="0.25"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</row>
    <row r="158" spans="5:57" x14ac:dyDescent="0.25"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</row>
    <row r="159" spans="5:57" x14ac:dyDescent="0.25"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</row>
    <row r="160" spans="5:57" x14ac:dyDescent="0.25"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</row>
    <row r="161" spans="5:57" x14ac:dyDescent="0.25"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</row>
    <row r="162" spans="5:57" x14ac:dyDescent="0.25"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</row>
    <row r="163" spans="5:57" x14ac:dyDescent="0.25"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</row>
    <row r="164" spans="5:57" x14ac:dyDescent="0.25"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</row>
    <row r="165" spans="5:57" x14ac:dyDescent="0.25"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</row>
    <row r="166" spans="5:57" x14ac:dyDescent="0.25"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</row>
    <row r="167" spans="5:57" x14ac:dyDescent="0.25"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</row>
    <row r="168" spans="5:57" x14ac:dyDescent="0.25"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</row>
    <row r="169" spans="5:57" x14ac:dyDescent="0.25"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</row>
    <row r="170" spans="5:57" x14ac:dyDescent="0.25"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</row>
    <row r="171" spans="5:57" x14ac:dyDescent="0.25"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</row>
    <row r="172" spans="5:57" x14ac:dyDescent="0.25"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</row>
    <row r="173" spans="5:57" x14ac:dyDescent="0.25"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</row>
    <row r="174" spans="5:57" x14ac:dyDescent="0.25"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</row>
    <row r="175" spans="5:57" x14ac:dyDescent="0.25"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</row>
    <row r="176" spans="5:57" x14ac:dyDescent="0.25"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</row>
    <row r="177" spans="5:57" x14ac:dyDescent="0.25"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</row>
    <row r="178" spans="5:57" x14ac:dyDescent="0.25"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</row>
    <row r="179" spans="5:57" x14ac:dyDescent="0.25"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</row>
    <row r="180" spans="5:57" x14ac:dyDescent="0.25"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</row>
    <row r="181" spans="5:57" x14ac:dyDescent="0.25"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</row>
    <row r="182" spans="5:57" x14ac:dyDescent="0.25"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</row>
    <row r="183" spans="5:57" x14ac:dyDescent="0.25"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</row>
    <row r="184" spans="5:57" x14ac:dyDescent="0.25"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</row>
    <row r="185" spans="5:57" x14ac:dyDescent="0.25"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</row>
    <row r="186" spans="5:57" x14ac:dyDescent="0.25"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</row>
    <row r="187" spans="5:57" x14ac:dyDescent="0.25"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</row>
    <row r="188" spans="5:57" x14ac:dyDescent="0.25"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</row>
    <row r="189" spans="5:57" x14ac:dyDescent="0.25"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</row>
    <row r="190" spans="5:57" x14ac:dyDescent="0.25"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</row>
    <row r="191" spans="5:57" x14ac:dyDescent="0.25"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</row>
    <row r="192" spans="5:57" x14ac:dyDescent="0.25"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</row>
    <row r="193" spans="5:57" x14ac:dyDescent="0.25"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</row>
    <row r="194" spans="5:57" x14ac:dyDescent="0.25"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</row>
    <row r="195" spans="5:57" x14ac:dyDescent="0.25"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</row>
    <row r="196" spans="5:57" x14ac:dyDescent="0.25"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</row>
    <row r="197" spans="5:57" x14ac:dyDescent="0.25"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</row>
    <row r="198" spans="5:57" x14ac:dyDescent="0.25"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</row>
    <row r="199" spans="5:57" x14ac:dyDescent="0.25"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</row>
    <row r="200" spans="5:57" x14ac:dyDescent="0.25"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</row>
    <row r="201" spans="5:57" x14ac:dyDescent="0.25"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</row>
    <row r="202" spans="5:57" x14ac:dyDescent="0.25"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</row>
    <row r="203" spans="5:57" x14ac:dyDescent="0.25"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</row>
    <row r="204" spans="5:57" x14ac:dyDescent="0.25"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</row>
    <row r="205" spans="5:57" x14ac:dyDescent="0.25"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</row>
    <row r="206" spans="5:57" x14ac:dyDescent="0.25"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</row>
    <row r="207" spans="5:57" x14ac:dyDescent="0.25"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</row>
    <row r="208" spans="5:57" x14ac:dyDescent="0.25"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</row>
    <row r="209" spans="5:57" x14ac:dyDescent="0.25"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</row>
    <row r="210" spans="5:57" x14ac:dyDescent="0.25"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</row>
    <row r="211" spans="5:57" x14ac:dyDescent="0.25"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</row>
    <row r="212" spans="5:57" x14ac:dyDescent="0.25"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</row>
    <row r="213" spans="5:57" x14ac:dyDescent="0.25"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</row>
    <row r="214" spans="5:57" x14ac:dyDescent="0.25"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</row>
    <row r="215" spans="5:57" x14ac:dyDescent="0.25"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</row>
    <row r="216" spans="5:57" x14ac:dyDescent="0.25"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</row>
    <row r="217" spans="5:57" x14ac:dyDescent="0.25"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</row>
    <row r="218" spans="5:57" x14ac:dyDescent="0.25"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</row>
    <row r="219" spans="5:57" x14ac:dyDescent="0.25"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</row>
    <row r="220" spans="5:57" x14ac:dyDescent="0.25"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</row>
    <row r="221" spans="5:57" x14ac:dyDescent="0.25"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</row>
    <row r="222" spans="5:57" x14ac:dyDescent="0.25"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</row>
    <row r="223" spans="5:57" x14ac:dyDescent="0.25"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</row>
    <row r="224" spans="5:57" x14ac:dyDescent="0.25"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</row>
    <row r="225" spans="5:57" x14ac:dyDescent="0.25"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</row>
    <row r="226" spans="5:57" x14ac:dyDescent="0.25"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</row>
    <row r="227" spans="5:57" x14ac:dyDescent="0.25"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</row>
    <row r="228" spans="5:57" x14ac:dyDescent="0.25"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</row>
    <row r="229" spans="5:57" x14ac:dyDescent="0.25"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</row>
    <row r="230" spans="5:57" x14ac:dyDescent="0.25"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</row>
    <row r="231" spans="5:57" x14ac:dyDescent="0.25"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</row>
    <row r="232" spans="5:57" x14ac:dyDescent="0.25"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</row>
    <row r="233" spans="5:57" x14ac:dyDescent="0.25"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</row>
    <row r="234" spans="5:57" x14ac:dyDescent="0.25"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</row>
    <row r="235" spans="5:57" x14ac:dyDescent="0.25"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</row>
    <row r="236" spans="5:57" x14ac:dyDescent="0.25"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</row>
    <row r="237" spans="5:57" x14ac:dyDescent="0.25"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</row>
    <row r="238" spans="5:57" x14ac:dyDescent="0.25"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</row>
    <row r="239" spans="5:57" x14ac:dyDescent="0.25"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</row>
    <row r="240" spans="5:57" x14ac:dyDescent="0.25"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</row>
    <row r="241" spans="5:57" x14ac:dyDescent="0.25"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</row>
    <row r="242" spans="5:57" x14ac:dyDescent="0.25"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</row>
    <row r="243" spans="5:57" x14ac:dyDescent="0.25"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</row>
    <row r="244" spans="5:57" x14ac:dyDescent="0.25"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</row>
    <row r="245" spans="5:57" x14ac:dyDescent="0.25"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</row>
    <row r="246" spans="5:57" x14ac:dyDescent="0.25"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</row>
    <row r="247" spans="5:57" x14ac:dyDescent="0.25"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</row>
    <row r="248" spans="5:57" x14ac:dyDescent="0.25"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</row>
    <row r="249" spans="5:57" x14ac:dyDescent="0.25"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</row>
    <row r="250" spans="5:57" x14ac:dyDescent="0.25"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</row>
    <row r="251" spans="5:57" x14ac:dyDescent="0.25"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</row>
    <row r="252" spans="5:57" x14ac:dyDescent="0.25"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</row>
    <row r="253" spans="5:57" x14ac:dyDescent="0.25"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</row>
    <row r="254" spans="5:57" x14ac:dyDescent="0.25"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</row>
    <row r="255" spans="5:57" x14ac:dyDescent="0.25"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</row>
    <row r="256" spans="5:57" x14ac:dyDescent="0.25"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</row>
    <row r="257" spans="5:57" x14ac:dyDescent="0.25"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</row>
    <row r="258" spans="5:57" x14ac:dyDescent="0.25"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</row>
    <row r="259" spans="5:57" x14ac:dyDescent="0.25"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</row>
    <row r="260" spans="5:57" x14ac:dyDescent="0.25"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</row>
    <row r="261" spans="5:57" x14ac:dyDescent="0.25"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</row>
    <row r="262" spans="5:57" x14ac:dyDescent="0.25"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</row>
    <row r="263" spans="5:57" x14ac:dyDescent="0.25"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</row>
    <row r="264" spans="5:57" x14ac:dyDescent="0.25"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</row>
    <row r="265" spans="5:57" x14ac:dyDescent="0.25"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</row>
    <row r="266" spans="5:57" x14ac:dyDescent="0.25"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</row>
    <row r="267" spans="5:57" x14ac:dyDescent="0.25"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</row>
    <row r="268" spans="5:57" x14ac:dyDescent="0.25"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</row>
    <row r="269" spans="5:57" x14ac:dyDescent="0.25"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</row>
    <row r="270" spans="5:57" x14ac:dyDescent="0.25"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</row>
    <row r="271" spans="5:57" x14ac:dyDescent="0.25"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</row>
    <row r="272" spans="5:57" x14ac:dyDescent="0.25"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</row>
    <row r="273" spans="5:57" x14ac:dyDescent="0.25"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</row>
    <row r="274" spans="5:57" x14ac:dyDescent="0.25"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</row>
    <row r="275" spans="5:57" x14ac:dyDescent="0.25"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</row>
    <row r="276" spans="5:57" x14ac:dyDescent="0.25"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</row>
    <row r="277" spans="5:57" x14ac:dyDescent="0.25"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</row>
    <row r="278" spans="5:57" x14ac:dyDescent="0.25"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</row>
    <row r="279" spans="5:57" x14ac:dyDescent="0.25"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</row>
    <row r="280" spans="5:57" x14ac:dyDescent="0.25"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</row>
    <row r="281" spans="5:57" x14ac:dyDescent="0.25"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</row>
    <row r="282" spans="5:57" x14ac:dyDescent="0.25"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</row>
    <row r="283" spans="5:57" x14ac:dyDescent="0.25"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</row>
    <row r="284" spans="5:57" x14ac:dyDescent="0.25"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</row>
    <row r="285" spans="5:57" x14ac:dyDescent="0.25"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E24"/>
  <sheetViews>
    <sheetView topLeftCell="D1" workbookViewId="0">
      <selection activeCell="E4" sqref="E4:P18"/>
    </sheetView>
  </sheetViews>
  <sheetFormatPr baseColWidth="10" defaultRowHeight="13.2" outlineLevelCol="1" x14ac:dyDescent="0.25"/>
  <cols>
    <col min="3" max="3" width="52.44140625" bestFit="1" customWidth="1"/>
    <col min="4" max="4" width="3" bestFit="1" customWidth="1" outlineLevel="1"/>
    <col min="5" max="6" width="12.109375" bestFit="1" customWidth="1"/>
    <col min="7" max="7" width="12.44140625" bestFit="1" customWidth="1"/>
    <col min="8" max="8" width="12.109375" bestFit="1" customWidth="1"/>
    <col min="9" max="9" width="12.44140625" bestFit="1" customWidth="1"/>
    <col min="10" max="10" width="12.109375" bestFit="1" customWidth="1"/>
    <col min="11" max="11" width="12.44140625" bestFit="1" customWidth="1"/>
    <col min="12" max="31" width="12.109375" bestFit="1" customWidth="1"/>
  </cols>
  <sheetData>
    <row r="1" spans="1:31" ht="13.8" thickBot="1" x14ac:dyDescent="0.3">
      <c r="A1" s="89" t="s">
        <v>125</v>
      </c>
      <c r="D1" s="70">
        <v>1</v>
      </c>
      <c r="E1" s="71">
        <v>42185</v>
      </c>
      <c r="F1" s="72">
        <v>42277</v>
      </c>
      <c r="G1" s="72">
        <v>42369</v>
      </c>
      <c r="H1" s="72">
        <v>42460</v>
      </c>
      <c r="I1" s="72">
        <v>42551</v>
      </c>
      <c r="J1" s="72">
        <v>42643</v>
      </c>
      <c r="K1" s="72">
        <v>42735</v>
      </c>
      <c r="L1" s="72">
        <v>42825</v>
      </c>
      <c r="M1" s="72">
        <v>42916</v>
      </c>
      <c r="N1" s="72">
        <v>43008</v>
      </c>
      <c r="O1" s="72">
        <v>43100</v>
      </c>
      <c r="P1" s="72">
        <v>43190</v>
      </c>
      <c r="Q1" s="72">
        <v>43281</v>
      </c>
      <c r="R1" s="72">
        <v>43373</v>
      </c>
      <c r="S1" s="72">
        <v>43465</v>
      </c>
      <c r="T1" s="72">
        <v>43555</v>
      </c>
      <c r="U1" s="72">
        <v>43646</v>
      </c>
      <c r="V1" s="72">
        <v>43738</v>
      </c>
      <c r="W1" s="72">
        <v>43830</v>
      </c>
      <c r="X1" s="72">
        <v>43921</v>
      </c>
      <c r="Y1" s="72">
        <v>44012</v>
      </c>
      <c r="Z1" s="72">
        <v>44104</v>
      </c>
      <c r="AA1" s="72">
        <v>44196</v>
      </c>
      <c r="AB1" s="72">
        <v>44286</v>
      </c>
      <c r="AC1" s="72">
        <v>44377</v>
      </c>
      <c r="AD1" s="72">
        <v>44469</v>
      </c>
      <c r="AE1" s="73">
        <v>44561</v>
      </c>
    </row>
    <row r="2" spans="1:31" x14ac:dyDescent="0.25">
      <c r="A2" s="89" t="s">
        <v>141</v>
      </c>
      <c r="D2" s="70">
        <v>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</row>
    <row r="3" spans="1:31" x14ac:dyDescent="0.25">
      <c r="C3" s="1"/>
      <c r="D3" s="70">
        <v>3</v>
      </c>
    </row>
    <row r="4" spans="1:31" x14ac:dyDescent="0.25">
      <c r="A4" s="60" t="s">
        <v>1</v>
      </c>
      <c r="B4" s="60" t="s">
        <v>14</v>
      </c>
      <c r="C4" s="60" t="s">
        <v>6</v>
      </c>
      <c r="D4" s="70">
        <v>4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spans="1:31" x14ac:dyDescent="0.25">
      <c r="A5" s="60" t="s">
        <v>1</v>
      </c>
      <c r="B5" s="60" t="s">
        <v>14</v>
      </c>
      <c r="C5" s="60" t="s">
        <v>7</v>
      </c>
      <c r="D5" s="70">
        <v>5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1" x14ac:dyDescent="0.25">
      <c r="A6" s="60" t="s">
        <v>1</v>
      </c>
      <c r="B6" s="60" t="s">
        <v>14</v>
      </c>
      <c r="C6" s="60" t="s">
        <v>201</v>
      </c>
      <c r="D6" s="70">
        <v>6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 spans="1:31" x14ac:dyDescent="0.25">
      <c r="A7" s="60" t="s">
        <v>1</v>
      </c>
      <c r="B7" s="60" t="s">
        <v>14</v>
      </c>
      <c r="C7" s="60" t="s">
        <v>9</v>
      </c>
      <c r="D7" s="70">
        <v>7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 spans="1:31" x14ac:dyDescent="0.25">
      <c r="C8" s="1"/>
      <c r="D8" s="70">
        <v>8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</row>
    <row r="9" spans="1:31" x14ac:dyDescent="0.25">
      <c r="C9" s="1"/>
      <c r="D9" s="70">
        <v>9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</row>
    <row r="10" spans="1:31" x14ac:dyDescent="0.25">
      <c r="A10" s="60" t="s">
        <v>1</v>
      </c>
      <c r="B10" s="60" t="s">
        <v>10</v>
      </c>
      <c r="C10" s="60" t="s">
        <v>52</v>
      </c>
      <c r="D10" s="70">
        <v>10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</row>
    <row r="11" spans="1:31" x14ac:dyDescent="0.25">
      <c r="A11" s="60" t="s">
        <v>1</v>
      </c>
      <c r="B11" s="60" t="s">
        <v>10</v>
      </c>
      <c r="C11" s="60" t="s">
        <v>53</v>
      </c>
      <c r="D11" s="70">
        <v>11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</row>
    <row r="12" spans="1:31" x14ac:dyDescent="0.25">
      <c r="A12" s="60" t="s">
        <v>1</v>
      </c>
      <c r="B12" s="60" t="s">
        <v>10</v>
      </c>
      <c r="C12" s="60" t="s">
        <v>11</v>
      </c>
      <c r="D12" s="70">
        <v>12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</row>
    <row r="13" spans="1:31" x14ac:dyDescent="0.25">
      <c r="C13" s="1"/>
      <c r="D13" s="70">
        <v>13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</row>
    <row r="14" spans="1:31" x14ac:dyDescent="0.25">
      <c r="A14" s="60" t="s">
        <v>1</v>
      </c>
      <c r="B14" s="60" t="s">
        <v>12</v>
      </c>
      <c r="C14" s="60" t="s">
        <v>13</v>
      </c>
      <c r="D14" s="70">
        <v>14</v>
      </c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 spans="1:31" x14ac:dyDescent="0.25">
      <c r="A15" s="60" t="s">
        <v>1</v>
      </c>
      <c r="B15" s="60" t="s">
        <v>12</v>
      </c>
      <c r="C15" s="60" t="s">
        <v>54</v>
      </c>
      <c r="D15" s="70">
        <v>15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 spans="1:31" x14ac:dyDescent="0.25">
      <c r="A16" s="60" t="s">
        <v>1</v>
      </c>
      <c r="B16" s="60" t="s">
        <v>12</v>
      </c>
      <c r="C16" s="60" t="s">
        <v>55</v>
      </c>
      <c r="D16" s="70">
        <v>16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</row>
    <row r="17" spans="1:31" x14ac:dyDescent="0.25">
      <c r="D17" s="70">
        <v>17</v>
      </c>
    </row>
    <row r="18" spans="1:31" x14ac:dyDescent="0.25">
      <c r="D18" s="70">
        <v>18</v>
      </c>
    </row>
    <row r="19" spans="1:31" x14ac:dyDescent="0.25">
      <c r="A19" s="60" t="s">
        <v>1</v>
      </c>
      <c r="B19" s="60" t="s">
        <v>111</v>
      </c>
      <c r="C19" s="84" t="s">
        <v>109</v>
      </c>
      <c r="D19" s="70">
        <v>19</v>
      </c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 spans="1:31" x14ac:dyDescent="0.25">
      <c r="A20" s="60" t="s">
        <v>1</v>
      </c>
      <c r="B20" s="60" t="s">
        <v>111</v>
      </c>
      <c r="C20" s="84" t="s">
        <v>110</v>
      </c>
      <c r="D20" s="70">
        <v>20</v>
      </c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</row>
    <row r="21" spans="1:31" x14ac:dyDescent="0.25">
      <c r="D21" s="70">
        <v>21</v>
      </c>
    </row>
    <row r="22" spans="1:31" x14ac:dyDescent="0.25">
      <c r="D22" s="70">
        <v>22</v>
      </c>
    </row>
    <row r="23" spans="1:31" x14ac:dyDescent="0.25">
      <c r="D23" s="70">
        <v>23</v>
      </c>
    </row>
    <row r="24" spans="1:31" x14ac:dyDescent="0.25">
      <c r="D24" s="70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E62"/>
  <sheetViews>
    <sheetView zoomScaleNormal="100" workbookViewId="0">
      <selection activeCell="K15" sqref="K15:K60"/>
    </sheetView>
  </sheetViews>
  <sheetFormatPr baseColWidth="10" defaultRowHeight="13.2" outlineLevelCol="1" x14ac:dyDescent="0.25"/>
  <cols>
    <col min="1" max="1" width="13.44140625" bestFit="1" customWidth="1"/>
    <col min="2" max="2" width="13.44140625" customWidth="1"/>
    <col min="3" max="3" width="52.44140625" bestFit="1" customWidth="1"/>
    <col min="4" max="4" width="3" style="92" bestFit="1" customWidth="1" outlineLevel="1"/>
    <col min="5" max="10" width="12.109375" bestFit="1" customWidth="1"/>
    <col min="11" max="11" width="15" bestFit="1" customWidth="1"/>
    <col min="12" max="31" width="12.109375" bestFit="1" customWidth="1"/>
  </cols>
  <sheetData>
    <row r="1" spans="1:31" ht="13.8" thickBot="1" x14ac:dyDescent="0.3">
      <c r="A1" s="89" t="s">
        <v>125</v>
      </c>
      <c r="D1" s="70">
        <v>1</v>
      </c>
      <c r="E1" s="71">
        <v>42185</v>
      </c>
      <c r="F1" s="72">
        <v>42277</v>
      </c>
      <c r="G1" s="72">
        <v>42369</v>
      </c>
      <c r="H1" s="72">
        <v>42460</v>
      </c>
      <c r="I1" s="72">
        <v>42551</v>
      </c>
      <c r="J1" s="72">
        <v>42643</v>
      </c>
      <c r="K1" s="72">
        <v>42735</v>
      </c>
      <c r="L1" s="72">
        <v>42825</v>
      </c>
      <c r="M1" s="72">
        <v>42916</v>
      </c>
      <c r="N1" s="72">
        <v>43008</v>
      </c>
      <c r="O1" s="72">
        <v>43100</v>
      </c>
      <c r="P1" s="72">
        <v>43190</v>
      </c>
      <c r="Q1" s="72">
        <v>43281</v>
      </c>
      <c r="R1" s="72">
        <v>43373</v>
      </c>
      <c r="S1" s="72">
        <v>43465</v>
      </c>
      <c r="T1" s="72">
        <v>43555</v>
      </c>
      <c r="U1" s="72">
        <v>43646</v>
      </c>
      <c r="V1" s="72">
        <v>43738</v>
      </c>
      <c r="W1" s="72">
        <v>43830</v>
      </c>
      <c r="X1" s="72">
        <v>43921</v>
      </c>
      <c r="Y1" s="72">
        <v>44012</v>
      </c>
      <c r="Z1" s="72">
        <v>44104</v>
      </c>
      <c r="AA1" s="72">
        <v>44196</v>
      </c>
      <c r="AB1" s="72">
        <v>44286</v>
      </c>
      <c r="AC1" s="72">
        <v>44377</v>
      </c>
      <c r="AD1" s="72">
        <v>44469</v>
      </c>
      <c r="AE1" s="73">
        <v>44561</v>
      </c>
    </row>
    <row r="2" spans="1:31" x14ac:dyDescent="0.25">
      <c r="A2" s="89" t="s">
        <v>142</v>
      </c>
      <c r="D2" s="70">
        <v>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</row>
    <row r="3" spans="1:31" x14ac:dyDescent="0.25">
      <c r="C3" s="3"/>
      <c r="D3" s="70">
        <v>3</v>
      </c>
    </row>
    <row r="4" spans="1:31" s="93" customFormat="1" x14ac:dyDescent="0.25">
      <c r="A4" s="94"/>
      <c r="B4" s="94" t="s">
        <v>189</v>
      </c>
      <c r="C4" s="94" t="s">
        <v>144</v>
      </c>
      <c r="D4" s="70">
        <v>4</v>
      </c>
      <c r="E4" s="58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spans="1:31" s="93" customFormat="1" x14ac:dyDescent="0.25">
      <c r="A5" s="94"/>
      <c r="B5" s="94" t="s">
        <v>189</v>
      </c>
      <c r="C5" s="94" t="s">
        <v>145</v>
      </c>
      <c r="D5" s="70">
        <v>5</v>
      </c>
      <c r="E5" s="58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1" s="93" customFormat="1" x14ac:dyDescent="0.25">
      <c r="A6" s="94"/>
      <c r="B6" s="94" t="s">
        <v>189</v>
      </c>
      <c r="C6" s="94" t="s">
        <v>146</v>
      </c>
      <c r="D6" s="70">
        <v>6</v>
      </c>
      <c r="E6" s="58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 spans="1:31" s="93" customFormat="1" x14ac:dyDescent="0.25">
      <c r="A7" s="94"/>
      <c r="B7" s="94" t="s">
        <v>189</v>
      </c>
      <c r="C7" s="94" t="s">
        <v>147</v>
      </c>
      <c r="D7" s="70">
        <v>7</v>
      </c>
      <c r="E7" s="58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 spans="1:31" s="93" customFormat="1" x14ac:dyDescent="0.25">
      <c r="A8" s="94"/>
      <c r="B8" s="94" t="s">
        <v>189</v>
      </c>
      <c r="C8" s="94" t="s">
        <v>148</v>
      </c>
      <c r="D8" s="70">
        <v>8</v>
      </c>
      <c r="E8" s="58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</row>
    <row r="9" spans="1:31" s="93" customFormat="1" x14ac:dyDescent="0.25">
      <c r="A9" s="94"/>
      <c r="B9" s="94" t="s">
        <v>189</v>
      </c>
      <c r="C9" s="94" t="s">
        <v>149</v>
      </c>
      <c r="D9" s="70">
        <v>9</v>
      </c>
      <c r="E9" s="58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</row>
    <row r="10" spans="1:31" s="93" customFormat="1" x14ac:dyDescent="0.25">
      <c r="A10" s="94"/>
      <c r="B10" s="94" t="s">
        <v>189</v>
      </c>
      <c r="C10" s="94" t="s">
        <v>150</v>
      </c>
      <c r="D10" s="70">
        <v>10</v>
      </c>
      <c r="E10" s="58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</row>
    <row r="11" spans="1:31" s="93" customFormat="1" x14ac:dyDescent="0.25">
      <c r="A11" s="94"/>
      <c r="B11" s="94" t="s">
        <v>189</v>
      </c>
      <c r="C11" s="94" t="s">
        <v>151</v>
      </c>
      <c r="D11" s="70">
        <v>11</v>
      </c>
      <c r="E11" s="58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</row>
    <row r="12" spans="1:31" s="93" customFormat="1" x14ac:dyDescent="0.25">
      <c r="A12" s="94"/>
      <c r="B12" s="94" t="s">
        <v>189</v>
      </c>
      <c r="C12" s="94" t="s">
        <v>152</v>
      </c>
      <c r="D12" s="70">
        <v>12</v>
      </c>
      <c r="E12" s="58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</row>
    <row r="13" spans="1:31" s="93" customFormat="1" x14ac:dyDescent="0.25">
      <c r="A13" s="81"/>
      <c r="B13" s="81" t="s">
        <v>189</v>
      </c>
      <c r="C13" s="81" t="s">
        <v>202</v>
      </c>
      <c r="D13" s="70">
        <v>13</v>
      </c>
      <c r="E13" s="105">
        <f>+SUM(E4:E11)</f>
        <v>0</v>
      </c>
      <c r="F13" s="105">
        <f t="shared" ref="F13:AE13" si="0">+SUM(F4:F11)</f>
        <v>0</v>
      </c>
      <c r="G13" s="105">
        <f t="shared" si="0"/>
        <v>0</v>
      </c>
      <c r="H13" s="105">
        <f t="shared" si="0"/>
        <v>0</v>
      </c>
      <c r="I13" s="105">
        <f t="shared" si="0"/>
        <v>0</v>
      </c>
      <c r="J13" s="105">
        <f t="shared" si="0"/>
        <v>0</v>
      </c>
      <c r="K13" s="105">
        <f t="shared" si="0"/>
        <v>0</v>
      </c>
      <c r="L13" s="105">
        <f>+K13</f>
        <v>0</v>
      </c>
      <c r="M13" s="105">
        <f t="shared" si="0"/>
        <v>0</v>
      </c>
      <c r="N13" s="105">
        <f t="shared" si="0"/>
        <v>0</v>
      </c>
      <c r="O13" s="105">
        <f t="shared" si="0"/>
        <v>0</v>
      </c>
      <c r="P13" s="105">
        <f t="shared" si="0"/>
        <v>0</v>
      </c>
      <c r="Q13" s="105">
        <f t="shared" si="0"/>
        <v>0</v>
      </c>
      <c r="R13" s="105">
        <f t="shared" si="0"/>
        <v>0</v>
      </c>
      <c r="S13" s="105">
        <f t="shared" si="0"/>
        <v>0</v>
      </c>
      <c r="T13" s="105">
        <f t="shared" si="0"/>
        <v>0</v>
      </c>
      <c r="U13" s="105">
        <f t="shared" si="0"/>
        <v>0</v>
      </c>
      <c r="V13" s="105">
        <f t="shared" si="0"/>
        <v>0</v>
      </c>
      <c r="W13" s="105">
        <f t="shared" si="0"/>
        <v>0</v>
      </c>
      <c r="X13" s="105">
        <f t="shared" si="0"/>
        <v>0</v>
      </c>
      <c r="Y13" s="105">
        <f t="shared" si="0"/>
        <v>0</v>
      </c>
      <c r="Z13" s="105">
        <f t="shared" si="0"/>
        <v>0</v>
      </c>
      <c r="AA13" s="105">
        <f t="shared" si="0"/>
        <v>0</v>
      </c>
      <c r="AB13" s="105">
        <f t="shared" si="0"/>
        <v>0</v>
      </c>
      <c r="AC13" s="105">
        <f t="shared" si="0"/>
        <v>0</v>
      </c>
      <c r="AD13" s="105">
        <f t="shared" si="0"/>
        <v>0</v>
      </c>
      <c r="AE13" s="105">
        <f t="shared" si="0"/>
        <v>0</v>
      </c>
    </row>
    <row r="14" spans="1:31" s="92" customFormat="1" x14ac:dyDescent="0.25">
      <c r="A14" s="2"/>
      <c r="B14" s="2"/>
      <c r="C14" s="2"/>
      <c r="D14" s="70">
        <v>14</v>
      </c>
      <c r="E14" s="90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</row>
    <row r="15" spans="1:31" s="93" customFormat="1" x14ac:dyDescent="0.25">
      <c r="A15" s="94"/>
      <c r="B15" s="94" t="s">
        <v>190</v>
      </c>
      <c r="C15" s="94" t="s">
        <v>153</v>
      </c>
      <c r="D15" s="70">
        <v>15</v>
      </c>
      <c r="E15" s="58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 spans="1:31" s="92" customFormat="1" x14ac:dyDescent="0.25">
      <c r="A16" s="2"/>
      <c r="B16" s="2"/>
      <c r="C16" s="2"/>
      <c r="D16" s="70">
        <v>16</v>
      </c>
      <c r="E16" s="90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</row>
    <row r="17" spans="1:31" s="93" customFormat="1" x14ac:dyDescent="0.25">
      <c r="A17" s="94"/>
      <c r="B17" s="94" t="s">
        <v>191</v>
      </c>
      <c r="C17" s="94" t="s">
        <v>154</v>
      </c>
      <c r="D17" s="70">
        <v>17</v>
      </c>
      <c r="E17" s="58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</row>
    <row r="18" spans="1:31" s="92" customFormat="1" x14ac:dyDescent="0.25">
      <c r="A18" s="2"/>
      <c r="B18" s="2"/>
      <c r="C18" s="2"/>
      <c r="D18" s="70">
        <v>18</v>
      </c>
      <c r="E18" s="90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</row>
    <row r="19" spans="1:31" s="93" customFormat="1" x14ac:dyDescent="0.25">
      <c r="A19" s="94"/>
      <c r="B19" s="94" t="s">
        <v>192</v>
      </c>
      <c r="C19" s="94" t="s">
        <v>155</v>
      </c>
      <c r="D19" s="70">
        <v>19</v>
      </c>
      <c r="E19" s="58"/>
      <c r="F19" s="59"/>
      <c r="G19" s="59"/>
      <c r="H19" s="59"/>
      <c r="I19" s="59"/>
      <c r="J19" s="59"/>
      <c r="K19" s="95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 spans="1:31" s="93" customFormat="1" x14ac:dyDescent="0.25">
      <c r="A20" s="94"/>
      <c r="B20" s="94" t="s">
        <v>192</v>
      </c>
      <c r="C20" s="94" t="s">
        <v>156</v>
      </c>
      <c r="D20" s="70">
        <v>20</v>
      </c>
      <c r="E20" s="58"/>
      <c r="F20" s="59"/>
      <c r="G20" s="59"/>
      <c r="H20" s="59"/>
      <c r="I20" s="59"/>
      <c r="J20" s="59"/>
      <c r="K20" s="95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</row>
    <row r="21" spans="1:31" s="93" customFormat="1" x14ac:dyDescent="0.25">
      <c r="A21" s="94"/>
      <c r="B21" s="94" t="s">
        <v>192</v>
      </c>
      <c r="C21" s="94" t="s">
        <v>157</v>
      </c>
      <c r="D21" s="70">
        <v>21</v>
      </c>
      <c r="E21" s="58"/>
      <c r="F21" s="59"/>
      <c r="G21" s="59"/>
      <c r="H21" s="59"/>
      <c r="I21" s="59"/>
      <c r="J21" s="59"/>
      <c r="K21" s="95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</row>
    <row r="22" spans="1:31" s="93" customFormat="1" x14ac:dyDescent="0.25">
      <c r="A22" s="94"/>
      <c r="B22" s="94" t="s">
        <v>192</v>
      </c>
      <c r="C22" s="94" t="s">
        <v>158</v>
      </c>
      <c r="D22" s="70">
        <v>22</v>
      </c>
      <c r="E22" s="58"/>
      <c r="F22" s="59"/>
      <c r="G22" s="59"/>
      <c r="H22" s="59"/>
      <c r="I22" s="59"/>
      <c r="J22" s="59"/>
      <c r="K22" s="95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</row>
    <row r="23" spans="1:31" s="93" customFormat="1" x14ac:dyDescent="0.25">
      <c r="A23" s="94"/>
      <c r="B23" s="94" t="s">
        <v>192</v>
      </c>
      <c r="C23" s="94" t="s">
        <v>159</v>
      </c>
      <c r="D23" s="70">
        <v>23</v>
      </c>
      <c r="E23" s="58"/>
      <c r="F23" s="59"/>
      <c r="G23" s="59"/>
      <c r="H23" s="59"/>
      <c r="I23" s="59"/>
      <c r="J23" s="59"/>
      <c r="K23" s="95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</row>
    <row r="24" spans="1:31" s="92" customFormat="1" x14ac:dyDescent="0.25">
      <c r="A24" s="2"/>
      <c r="B24" s="2"/>
      <c r="C24" s="2"/>
      <c r="D24" s="70">
        <v>24</v>
      </c>
      <c r="E24" s="90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</row>
    <row r="25" spans="1:31" s="93" customFormat="1" x14ac:dyDescent="0.25">
      <c r="A25" s="94"/>
      <c r="B25" s="94" t="s">
        <v>193</v>
      </c>
      <c r="C25" s="94" t="s">
        <v>160</v>
      </c>
      <c r="D25" s="70">
        <v>25</v>
      </c>
      <c r="E25" s="58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</row>
    <row r="26" spans="1:31" s="93" customFormat="1" x14ac:dyDescent="0.25">
      <c r="A26" s="94"/>
      <c r="B26" s="94" t="s">
        <v>193</v>
      </c>
      <c r="C26" s="94" t="s">
        <v>161</v>
      </c>
      <c r="D26" s="70">
        <v>26</v>
      </c>
      <c r="E26" s="58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</row>
    <row r="27" spans="1:31" s="92" customFormat="1" x14ac:dyDescent="0.25">
      <c r="A27" s="2"/>
      <c r="B27" s="2"/>
      <c r="C27" s="2"/>
      <c r="D27" s="70">
        <v>27</v>
      </c>
      <c r="E27" s="90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</row>
    <row r="28" spans="1:31" s="93" customFormat="1" x14ac:dyDescent="0.25">
      <c r="A28" s="94"/>
      <c r="B28" s="94" t="s">
        <v>194</v>
      </c>
      <c r="C28" s="94" t="s">
        <v>162</v>
      </c>
      <c r="D28" s="70">
        <v>28</v>
      </c>
      <c r="E28" s="58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</row>
    <row r="29" spans="1:31" s="93" customFormat="1" x14ac:dyDescent="0.25">
      <c r="A29" s="94"/>
      <c r="B29" s="94" t="s">
        <v>194</v>
      </c>
      <c r="C29" s="94" t="s">
        <v>163</v>
      </c>
      <c r="D29" s="70">
        <v>29</v>
      </c>
      <c r="E29" s="58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</row>
    <row r="30" spans="1:31" s="93" customFormat="1" x14ac:dyDescent="0.25">
      <c r="A30" s="94"/>
      <c r="B30" s="94" t="s">
        <v>194</v>
      </c>
      <c r="C30" s="94" t="s">
        <v>164</v>
      </c>
      <c r="D30" s="70">
        <v>30</v>
      </c>
      <c r="E30" s="58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</row>
    <row r="31" spans="1:31" s="92" customFormat="1" x14ac:dyDescent="0.25">
      <c r="A31" s="2"/>
      <c r="B31" s="2"/>
      <c r="C31" s="2"/>
      <c r="D31" s="70">
        <v>31</v>
      </c>
      <c r="E31" s="90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</row>
    <row r="32" spans="1:31" s="93" customFormat="1" x14ac:dyDescent="0.25">
      <c r="A32" s="94"/>
      <c r="B32" s="94" t="s">
        <v>195</v>
      </c>
      <c r="C32" s="94" t="s">
        <v>165</v>
      </c>
      <c r="D32" s="70">
        <v>32</v>
      </c>
      <c r="E32" s="58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</row>
    <row r="33" spans="1:31" s="93" customFormat="1" x14ac:dyDescent="0.25">
      <c r="A33" s="94"/>
      <c r="B33" s="94" t="s">
        <v>195</v>
      </c>
      <c r="C33" s="94" t="s">
        <v>166</v>
      </c>
      <c r="D33" s="70">
        <v>33</v>
      </c>
      <c r="E33" s="5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</row>
    <row r="34" spans="1:31" s="93" customFormat="1" x14ac:dyDescent="0.25">
      <c r="A34" s="94"/>
      <c r="B34" s="94" t="s">
        <v>195</v>
      </c>
      <c r="C34" s="94" t="s">
        <v>167</v>
      </c>
      <c r="D34" s="70">
        <v>34</v>
      </c>
      <c r="E34" s="58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</row>
    <row r="35" spans="1:31" s="92" customFormat="1" x14ac:dyDescent="0.25">
      <c r="A35" s="2"/>
      <c r="B35" s="2"/>
      <c r="C35" s="2"/>
      <c r="D35" s="70">
        <v>35</v>
      </c>
      <c r="E35" s="90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</row>
    <row r="36" spans="1:31" s="93" customFormat="1" x14ac:dyDescent="0.25">
      <c r="A36" s="94"/>
      <c r="B36" s="94" t="s">
        <v>196</v>
      </c>
      <c r="C36" s="94" t="s">
        <v>168</v>
      </c>
      <c r="D36" s="70">
        <v>36</v>
      </c>
      <c r="E36" s="58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</row>
    <row r="37" spans="1:31" s="93" customFormat="1" x14ac:dyDescent="0.25">
      <c r="A37" s="94"/>
      <c r="B37" s="94" t="s">
        <v>196</v>
      </c>
      <c r="C37" s="94" t="s">
        <v>169</v>
      </c>
      <c r="D37" s="70">
        <v>37</v>
      </c>
      <c r="E37" s="58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</row>
    <row r="38" spans="1:31" s="93" customFormat="1" x14ac:dyDescent="0.25">
      <c r="A38" s="94"/>
      <c r="B38" s="94" t="s">
        <v>196</v>
      </c>
      <c r="C38" s="94" t="s">
        <v>170</v>
      </c>
      <c r="D38" s="70">
        <v>38</v>
      </c>
      <c r="E38" s="58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</row>
    <row r="39" spans="1:31" s="93" customFormat="1" x14ac:dyDescent="0.25">
      <c r="A39" s="94"/>
      <c r="B39" s="94" t="s">
        <v>196</v>
      </c>
      <c r="C39" s="94" t="s">
        <v>171</v>
      </c>
      <c r="D39" s="70">
        <v>39</v>
      </c>
      <c r="E39" s="58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 spans="1:31" s="93" customFormat="1" x14ac:dyDescent="0.25">
      <c r="A40" s="94"/>
      <c r="B40" s="94" t="s">
        <v>196</v>
      </c>
      <c r="C40" s="94" t="s">
        <v>172</v>
      </c>
      <c r="D40" s="70">
        <v>40</v>
      </c>
      <c r="E40" s="58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</row>
    <row r="41" spans="1:31" s="92" customFormat="1" x14ac:dyDescent="0.25">
      <c r="A41" s="2"/>
      <c r="B41" s="2"/>
      <c r="C41" s="2"/>
      <c r="D41" s="70">
        <v>41</v>
      </c>
      <c r="E41" s="90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</row>
    <row r="42" spans="1:31" s="93" customFormat="1" x14ac:dyDescent="0.25">
      <c r="A42" s="94"/>
      <c r="B42" s="94" t="s">
        <v>197</v>
      </c>
      <c r="C42" s="94" t="s">
        <v>173</v>
      </c>
      <c r="D42" s="70">
        <v>42</v>
      </c>
      <c r="E42" s="58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</row>
    <row r="43" spans="1:31" s="93" customFormat="1" x14ac:dyDescent="0.25">
      <c r="A43" s="94"/>
      <c r="B43" s="94" t="s">
        <v>197</v>
      </c>
      <c r="C43" s="94" t="s">
        <v>174</v>
      </c>
      <c r="D43" s="70">
        <v>43</v>
      </c>
      <c r="E43" s="58"/>
      <c r="F43" s="59"/>
      <c r="G43" s="59"/>
      <c r="H43" s="59"/>
      <c r="I43" s="59"/>
      <c r="J43" s="59"/>
      <c r="K43" s="95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</row>
    <row r="44" spans="1:31" s="93" customFormat="1" x14ac:dyDescent="0.25">
      <c r="A44" s="94"/>
      <c r="B44" s="94" t="s">
        <v>197</v>
      </c>
      <c r="C44" s="94" t="s">
        <v>175</v>
      </c>
      <c r="D44" s="70">
        <v>44</v>
      </c>
      <c r="E44" s="58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</row>
    <row r="45" spans="1:31" s="93" customFormat="1" x14ac:dyDescent="0.25">
      <c r="A45" s="94"/>
      <c r="B45" s="94" t="s">
        <v>197</v>
      </c>
      <c r="C45" s="94" t="s">
        <v>176</v>
      </c>
      <c r="D45" s="70">
        <v>45</v>
      </c>
      <c r="E45" s="58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</row>
    <row r="46" spans="1:31" s="93" customFormat="1" x14ac:dyDescent="0.25">
      <c r="A46" s="94"/>
      <c r="B46" s="94" t="s">
        <v>197</v>
      </c>
      <c r="C46" s="94" t="s">
        <v>177</v>
      </c>
      <c r="D46" s="70">
        <v>46</v>
      </c>
      <c r="E46" s="58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</row>
    <row r="47" spans="1:31" s="93" customFormat="1" x14ac:dyDescent="0.25">
      <c r="A47" s="94"/>
      <c r="B47" s="94" t="s">
        <v>197</v>
      </c>
      <c r="C47" s="94" t="s">
        <v>178</v>
      </c>
      <c r="D47" s="70">
        <v>47</v>
      </c>
      <c r="E47" s="58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</row>
    <row r="48" spans="1:31" s="93" customFormat="1" x14ac:dyDescent="0.25">
      <c r="A48" s="94"/>
      <c r="B48" s="94" t="s">
        <v>197</v>
      </c>
      <c r="C48" s="94" t="s">
        <v>21</v>
      </c>
      <c r="D48" s="70">
        <v>48</v>
      </c>
      <c r="E48" s="58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</row>
    <row r="49" spans="1:31" s="92" customFormat="1" x14ac:dyDescent="0.25">
      <c r="A49" s="2"/>
      <c r="B49" s="2"/>
      <c r="C49" s="2"/>
      <c r="D49" s="70">
        <v>49</v>
      </c>
      <c r="E49" s="90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</row>
    <row r="50" spans="1:31" s="93" customFormat="1" x14ac:dyDescent="0.25">
      <c r="A50" s="94"/>
      <c r="B50" s="94" t="s">
        <v>198</v>
      </c>
      <c r="C50" s="94" t="s">
        <v>179</v>
      </c>
      <c r="D50" s="70">
        <v>50</v>
      </c>
      <c r="E50" s="58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</row>
    <row r="51" spans="1:31" s="93" customFormat="1" x14ac:dyDescent="0.25">
      <c r="A51" s="94"/>
      <c r="B51" s="94" t="s">
        <v>198</v>
      </c>
      <c r="C51" s="94" t="s">
        <v>180</v>
      </c>
      <c r="D51" s="70">
        <v>51</v>
      </c>
      <c r="E51" s="58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 spans="1:31" s="93" customFormat="1" x14ac:dyDescent="0.25">
      <c r="A52" s="94"/>
      <c r="B52" s="94" t="s">
        <v>198</v>
      </c>
      <c r="C52" s="94" t="s">
        <v>181</v>
      </c>
      <c r="D52" s="70">
        <v>52</v>
      </c>
      <c r="E52" s="58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 spans="1:31" s="93" customFormat="1" x14ac:dyDescent="0.25">
      <c r="A53" s="94"/>
      <c r="B53" s="94" t="s">
        <v>198</v>
      </c>
      <c r="C53" s="94" t="s">
        <v>182</v>
      </c>
      <c r="D53" s="70">
        <v>53</v>
      </c>
      <c r="E53" s="58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</row>
    <row r="54" spans="1:31" s="92" customFormat="1" x14ac:dyDescent="0.25">
      <c r="A54" s="2"/>
      <c r="B54" s="2"/>
      <c r="C54" s="2"/>
      <c r="D54" s="70">
        <v>54</v>
      </c>
      <c r="E54" s="90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</row>
    <row r="55" spans="1:31" s="93" customFormat="1" x14ac:dyDescent="0.25">
      <c r="A55" s="94"/>
      <c r="B55" s="94" t="s">
        <v>199</v>
      </c>
      <c r="C55" s="94" t="s">
        <v>183</v>
      </c>
      <c r="D55" s="70">
        <v>55</v>
      </c>
      <c r="E55" s="58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 spans="1:31" s="93" customFormat="1" x14ac:dyDescent="0.25">
      <c r="A56" s="94"/>
      <c r="B56" s="94" t="s">
        <v>199</v>
      </c>
      <c r="C56" s="94" t="s">
        <v>184</v>
      </c>
      <c r="D56" s="70">
        <v>56</v>
      </c>
      <c r="E56" s="58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</row>
    <row r="57" spans="1:31" s="93" customFormat="1" x14ac:dyDescent="0.25">
      <c r="A57" s="94"/>
      <c r="B57" s="94" t="s">
        <v>199</v>
      </c>
      <c r="C57" s="94" t="s">
        <v>185</v>
      </c>
      <c r="D57" s="70">
        <v>57</v>
      </c>
      <c r="E57" s="58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</row>
    <row r="58" spans="1:31" s="93" customFormat="1" x14ac:dyDescent="0.25">
      <c r="A58" s="94"/>
      <c r="B58" s="94" t="s">
        <v>199</v>
      </c>
      <c r="C58" s="94" t="s">
        <v>186</v>
      </c>
      <c r="D58" s="70">
        <v>58</v>
      </c>
      <c r="E58" s="58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 spans="1:31" s="93" customFormat="1" x14ac:dyDescent="0.25">
      <c r="A59" s="94"/>
      <c r="B59" s="94" t="s">
        <v>199</v>
      </c>
      <c r="C59" s="94" t="s">
        <v>187</v>
      </c>
      <c r="D59" s="70">
        <v>59</v>
      </c>
      <c r="E59" s="58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</row>
    <row r="60" spans="1:31" s="93" customFormat="1" x14ac:dyDescent="0.25">
      <c r="A60" s="94"/>
      <c r="B60" s="94" t="s">
        <v>199</v>
      </c>
      <c r="C60" s="94" t="s">
        <v>188</v>
      </c>
      <c r="D60" s="70">
        <v>60</v>
      </c>
      <c r="E60" s="58"/>
      <c r="F60" s="59"/>
      <c r="G60" s="59"/>
      <c r="H60" s="59"/>
      <c r="I60" s="59"/>
      <c r="J60" s="59"/>
      <c r="K60" s="95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</row>
    <row r="61" spans="1:31" x14ac:dyDescent="0.25">
      <c r="D61" s="70">
        <v>61</v>
      </c>
    </row>
    <row r="62" spans="1:31" x14ac:dyDescent="0.25">
      <c r="D62" s="70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AE9"/>
  <sheetViews>
    <sheetView workbookViewId="0">
      <selection activeCell="A3" sqref="A3"/>
    </sheetView>
  </sheetViews>
  <sheetFormatPr baseColWidth="10" defaultRowHeight="13.2" outlineLevelCol="1" x14ac:dyDescent="0.25"/>
  <cols>
    <col min="3" max="3" width="52.44140625" bestFit="1" customWidth="1"/>
    <col min="4" max="4" width="3" bestFit="1" customWidth="1" outlineLevel="1"/>
    <col min="5" max="31" width="12.109375" bestFit="1" customWidth="1"/>
  </cols>
  <sheetData>
    <row r="1" spans="1:31" ht="13.8" thickBot="1" x14ac:dyDescent="0.3">
      <c r="A1" s="89" t="s">
        <v>125</v>
      </c>
      <c r="D1" s="70">
        <v>1</v>
      </c>
      <c r="E1" s="71">
        <v>42185</v>
      </c>
      <c r="F1" s="72">
        <v>42277</v>
      </c>
      <c r="G1" s="72">
        <v>42369</v>
      </c>
      <c r="H1" s="72">
        <v>42460</v>
      </c>
      <c r="I1" s="72">
        <v>42551</v>
      </c>
      <c r="J1" s="72">
        <v>42643</v>
      </c>
      <c r="K1" s="72">
        <v>42735</v>
      </c>
      <c r="L1" s="72">
        <v>42825</v>
      </c>
      <c r="M1" s="72">
        <v>42916</v>
      </c>
      <c r="N1" s="72">
        <v>43008</v>
      </c>
      <c r="O1" s="72">
        <v>43100</v>
      </c>
      <c r="P1" s="72">
        <v>43190</v>
      </c>
      <c r="Q1" s="72">
        <v>43281</v>
      </c>
      <c r="R1" s="72">
        <v>43373</v>
      </c>
      <c r="S1" s="72">
        <v>43465</v>
      </c>
      <c r="T1" s="72">
        <v>43555</v>
      </c>
      <c r="U1" s="72">
        <v>43646</v>
      </c>
      <c r="V1" s="72">
        <v>43738</v>
      </c>
      <c r="W1" s="72">
        <v>43830</v>
      </c>
      <c r="X1" s="72">
        <v>43921</v>
      </c>
      <c r="Y1" s="72">
        <v>44012</v>
      </c>
      <c r="Z1" s="72">
        <v>44104</v>
      </c>
      <c r="AA1" s="72">
        <v>44196</v>
      </c>
      <c r="AB1" s="72">
        <v>44286</v>
      </c>
      <c r="AC1" s="72">
        <v>44377</v>
      </c>
      <c r="AD1" s="72">
        <v>44469</v>
      </c>
      <c r="AE1" s="73">
        <v>44561</v>
      </c>
    </row>
    <row r="2" spans="1:31" x14ac:dyDescent="0.25">
      <c r="A2" s="89" t="s">
        <v>143</v>
      </c>
      <c r="D2" s="70">
        <v>2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</row>
    <row r="3" spans="1:31" x14ac:dyDescent="0.25">
      <c r="C3" s="1"/>
      <c r="D3" s="70">
        <v>3</v>
      </c>
    </row>
    <row r="4" spans="1:31" x14ac:dyDescent="0.25">
      <c r="A4" s="60" t="s">
        <v>0</v>
      </c>
      <c r="B4" s="60" t="s">
        <v>138</v>
      </c>
      <c r="C4" s="60" t="s">
        <v>120</v>
      </c>
      <c r="D4" s="70">
        <v>4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spans="1:31" x14ac:dyDescent="0.25">
      <c r="A5" s="60" t="s">
        <v>0</v>
      </c>
      <c r="B5" s="60" t="s">
        <v>138</v>
      </c>
      <c r="C5" s="60" t="s">
        <v>121</v>
      </c>
      <c r="D5" s="70">
        <v>5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1" x14ac:dyDescent="0.25">
      <c r="A6" s="60" t="s">
        <v>0</v>
      </c>
      <c r="B6" s="60" t="s">
        <v>138</v>
      </c>
      <c r="C6" s="60" t="s">
        <v>122</v>
      </c>
      <c r="D6" s="70">
        <v>6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 spans="1:31" x14ac:dyDescent="0.25">
      <c r="A7" s="60" t="s">
        <v>0</v>
      </c>
      <c r="B7" s="60" t="s">
        <v>138</v>
      </c>
      <c r="C7" s="60" t="s">
        <v>123</v>
      </c>
      <c r="D7" s="70">
        <v>7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 spans="1:31" x14ac:dyDescent="0.25">
      <c r="A8" s="60" t="s">
        <v>0</v>
      </c>
      <c r="B8" s="60" t="s">
        <v>138</v>
      </c>
      <c r="C8" s="60" t="s">
        <v>124</v>
      </c>
      <c r="D8" s="70">
        <v>8</v>
      </c>
    </row>
    <row r="9" spans="1:31" x14ac:dyDescent="0.25">
      <c r="C9" s="1"/>
      <c r="D9" s="70">
        <v>9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U46"/>
  <sheetViews>
    <sheetView view="pageBreakPreview" topLeftCell="A19" zoomScale="85" zoomScaleNormal="100" zoomScaleSheetLayoutView="85" workbookViewId="0">
      <selection activeCell="B43" sqref="B43:K46"/>
    </sheetView>
  </sheetViews>
  <sheetFormatPr baseColWidth="10" defaultRowHeight="13.2" x14ac:dyDescent="0.25"/>
  <cols>
    <col min="1" max="1" width="2.44140625" style="4" customWidth="1"/>
    <col min="2" max="2" width="13.77734375" customWidth="1"/>
    <col min="3" max="3" width="4.5546875" customWidth="1"/>
    <col min="4" max="4" width="7.109375" customWidth="1"/>
    <col min="5" max="5" width="10.21875" customWidth="1"/>
    <col min="6" max="6" width="4.88671875" customWidth="1"/>
    <col min="7" max="7" width="2.21875" customWidth="1"/>
    <col min="8" max="8" width="2.88671875" customWidth="1"/>
    <col min="9" max="9" width="13.6640625" customWidth="1"/>
    <col min="10" max="10" width="7.5546875" customWidth="1"/>
    <col min="11" max="11" width="17.77734375" customWidth="1"/>
    <col min="12" max="13" width="12" customWidth="1"/>
    <col min="17" max="17" width="2.5546875" customWidth="1"/>
  </cols>
  <sheetData>
    <row r="1" spans="2:21" s="4" customFormat="1" ht="13.2" customHeight="1" thickBot="1" x14ac:dyDescent="0.3"/>
    <row r="2" spans="2:21" ht="29.4" thickBot="1" x14ac:dyDescent="0.6">
      <c r="B2" s="57">
        <f>+'Donnees figees'!B2</f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6"/>
      <c r="Q2" s="4"/>
      <c r="T2" s="69">
        <v>42825</v>
      </c>
      <c r="U2">
        <f>+HLOOKUP(T2,Capital!$1:$2,2,FALSE)</f>
        <v>8</v>
      </c>
    </row>
    <row r="3" spans="2:21" ht="4.8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6"/>
      <c r="Q3" s="4"/>
    </row>
    <row r="4" spans="2:21" x14ac:dyDescent="0.25">
      <c r="B4" s="8" t="s">
        <v>27</v>
      </c>
      <c r="C4" s="7">
        <f>+'Donnees figees'!B5</f>
        <v>0</v>
      </c>
      <c r="D4" s="8"/>
      <c r="E4" s="9" t="s">
        <v>28</v>
      </c>
      <c r="F4" s="9"/>
      <c r="G4" s="8"/>
      <c r="H4" s="106">
        <f>+INDEX(Impact!$E:$AE,Impact!$D$13,$U$2)</f>
        <v>0</v>
      </c>
      <c r="I4" s="9" t="s">
        <v>31</v>
      </c>
      <c r="J4" s="7">
        <f>+'Donnees figees'!B6</f>
        <v>0</v>
      </c>
      <c r="K4" s="8"/>
      <c r="L4" s="8"/>
      <c r="M4" s="8"/>
      <c r="N4" s="5"/>
      <c r="O4" s="4"/>
      <c r="P4" s="56"/>
      <c r="Q4" s="4"/>
    </row>
    <row r="5" spans="2:21" x14ac:dyDescent="0.25">
      <c r="B5" s="8" t="s">
        <v>24</v>
      </c>
      <c r="C5" s="7">
        <f>+'Donnees figees'!B4</f>
        <v>0</v>
      </c>
      <c r="D5" s="9" t="s">
        <v>29</v>
      </c>
      <c r="E5" s="9"/>
      <c r="F5" s="9"/>
      <c r="G5" s="99">
        <f>+'Donnees figees'!B8</f>
        <v>0</v>
      </c>
      <c r="H5" s="99"/>
      <c r="I5" s="9" t="s">
        <v>30</v>
      </c>
      <c r="J5" s="9"/>
      <c r="K5" s="7">
        <f>+'Donnees figees'!B7</f>
        <v>0</v>
      </c>
      <c r="L5" s="7"/>
      <c r="M5" s="7"/>
      <c r="N5" s="5"/>
      <c r="O5" s="4"/>
      <c r="P5" s="56"/>
      <c r="Q5" s="4"/>
    </row>
    <row r="6" spans="2:21" x14ac:dyDescent="0.25">
      <c r="B6" s="8" t="s">
        <v>25</v>
      </c>
      <c r="C6" s="8"/>
      <c r="D6" s="8"/>
      <c r="E6" s="46">
        <f>+'Fiche entreprise p.2'!C5</f>
        <v>0</v>
      </c>
      <c r="F6" s="9" t="s">
        <v>26</v>
      </c>
      <c r="G6" s="9"/>
      <c r="H6" s="8"/>
      <c r="I6" s="8"/>
      <c r="J6" s="6">
        <f>+INDEX(Capital!$E:$AE,Capital!$D$11,'Fiche entreprise p.1'!$U$2)</f>
        <v>0</v>
      </c>
      <c r="K6" s="8"/>
      <c r="L6" s="8"/>
      <c r="M6" s="8"/>
      <c r="N6" s="5"/>
      <c r="O6" s="4"/>
      <c r="P6" s="56"/>
      <c r="Q6" s="4"/>
    </row>
    <row r="7" spans="2:21" ht="6" customHeight="1" thickBot="1" x14ac:dyDescent="0.3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"/>
    </row>
    <row r="8" spans="2:21" ht="11.4" customHeight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2:21" ht="5.4" customHeight="1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4"/>
    </row>
    <row r="10" spans="2:21" ht="13.2" customHeight="1" x14ac:dyDescent="0.25">
      <c r="B10" s="54"/>
      <c r="C10" s="54"/>
      <c r="D10" s="55"/>
      <c r="E10" s="12"/>
      <c r="F10" s="101"/>
      <c r="G10" s="101"/>
      <c r="H10" s="101"/>
      <c r="I10" s="101"/>
      <c r="J10" s="101"/>
      <c r="K10" s="101"/>
      <c r="L10" s="101"/>
      <c r="M10" s="101"/>
      <c r="N10" s="12"/>
      <c r="O10" s="11"/>
      <c r="P10" s="11"/>
      <c r="Q10" s="4"/>
      <c r="S10" t="s">
        <v>22</v>
      </c>
      <c r="T10" t="s">
        <v>23</v>
      </c>
    </row>
    <row r="11" spans="2:21" x14ac:dyDescent="0.25">
      <c r="B11" s="54"/>
      <c r="C11" s="54"/>
      <c r="D11" s="55"/>
      <c r="E11" s="12"/>
      <c r="F11" s="101"/>
      <c r="G11" s="101"/>
      <c r="H11" s="101"/>
      <c r="I11" s="101"/>
      <c r="J11" s="101"/>
      <c r="K11" s="101"/>
      <c r="L11" s="101"/>
      <c r="M11" s="101"/>
      <c r="N11" s="12"/>
      <c r="O11" s="11"/>
      <c r="P11" s="11"/>
      <c r="Q11" s="4"/>
      <c r="T11" s="10"/>
    </row>
    <row r="12" spans="2:21" x14ac:dyDescent="0.25">
      <c r="B12" s="54"/>
      <c r="C12" s="54"/>
      <c r="D12" s="55"/>
      <c r="E12" s="12"/>
      <c r="F12" s="101"/>
      <c r="G12" s="101"/>
      <c r="H12" s="101"/>
      <c r="I12" s="101"/>
      <c r="J12" s="101"/>
      <c r="K12" s="101"/>
      <c r="L12" s="101"/>
      <c r="M12" s="101"/>
      <c r="N12" s="12"/>
      <c r="O12" s="11"/>
      <c r="P12" s="11"/>
      <c r="Q12" s="4"/>
      <c r="T12" s="10"/>
    </row>
    <row r="13" spans="2:21" x14ac:dyDescent="0.25">
      <c r="B13" s="54"/>
      <c r="C13" s="54"/>
      <c r="D13" s="55"/>
      <c r="E13" s="12"/>
      <c r="F13" s="101"/>
      <c r="G13" s="101"/>
      <c r="H13" s="101"/>
      <c r="I13" s="101"/>
      <c r="J13" s="101"/>
      <c r="K13" s="101"/>
      <c r="L13" s="101"/>
      <c r="M13" s="101"/>
      <c r="N13" s="12"/>
      <c r="O13" s="11"/>
      <c r="P13" s="11"/>
      <c r="Q13" s="4"/>
      <c r="T13" s="10"/>
    </row>
    <row r="14" spans="2:21" x14ac:dyDescent="0.25">
      <c r="B14" s="54"/>
      <c r="C14" s="54"/>
      <c r="D14" s="55"/>
      <c r="E14" s="12"/>
      <c r="F14" s="101"/>
      <c r="G14" s="101"/>
      <c r="H14" s="101"/>
      <c r="I14" s="101"/>
      <c r="J14" s="101"/>
      <c r="K14" s="101"/>
      <c r="L14" s="101"/>
      <c r="M14" s="101"/>
      <c r="N14" s="12"/>
      <c r="O14" s="11"/>
      <c r="P14" s="11"/>
      <c r="Q14" s="4"/>
      <c r="T14" s="10"/>
    </row>
    <row r="15" spans="2:21" x14ac:dyDescent="0.25">
      <c r="B15" s="54"/>
      <c r="C15" s="54"/>
      <c r="D15" s="55"/>
      <c r="E15" s="12"/>
      <c r="F15" s="101"/>
      <c r="G15" s="101"/>
      <c r="H15" s="101"/>
      <c r="I15" s="101"/>
      <c r="J15" s="101"/>
      <c r="K15" s="101"/>
      <c r="L15" s="101"/>
      <c r="M15" s="101"/>
      <c r="N15" s="12"/>
      <c r="O15" s="11"/>
      <c r="P15" s="11"/>
      <c r="Q15" s="4"/>
      <c r="T15" s="10"/>
    </row>
    <row r="16" spans="2:21" x14ac:dyDescent="0.25">
      <c r="B16" s="54"/>
      <c r="C16" s="54"/>
      <c r="D16" s="55"/>
      <c r="E16" s="12"/>
      <c r="F16" s="101"/>
      <c r="G16" s="101"/>
      <c r="H16" s="101"/>
      <c r="I16" s="101"/>
      <c r="J16" s="101"/>
      <c r="K16" s="101"/>
      <c r="L16" s="101"/>
      <c r="M16" s="101"/>
      <c r="N16" s="12"/>
      <c r="O16" s="11"/>
      <c r="P16" s="11"/>
      <c r="Q16" s="4"/>
      <c r="T16" s="10"/>
    </row>
    <row r="17" spans="2:17" ht="4.2" customHeight="1" x14ac:dyDescent="0.25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4"/>
    </row>
    <row r="18" spans="2:17" x14ac:dyDescent="0.2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ht="22.2" customHeight="1" thickBot="1" x14ac:dyDescent="0.3">
      <c r="B19" s="97" t="s">
        <v>32</v>
      </c>
      <c r="C19" s="97"/>
      <c r="D19" s="97"/>
      <c r="E19" s="97"/>
      <c r="F19" s="97"/>
      <c r="G19" s="97"/>
      <c r="H19" s="97"/>
      <c r="I19" s="97"/>
      <c r="J19" s="97"/>
      <c r="K19" s="97"/>
      <c r="L19" s="4"/>
      <c r="M19" s="100"/>
      <c r="N19" s="100"/>
      <c r="O19" s="100"/>
      <c r="P19" s="100"/>
      <c r="Q19" s="4"/>
    </row>
    <row r="20" spans="2:17" ht="7.8" customHeight="1" x14ac:dyDescent="0.25"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"/>
      <c r="M20" s="44"/>
      <c r="N20" s="44"/>
      <c r="O20" s="44"/>
      <c r="P20" s="44"/>
      <c r="Q20" s="4"/>
    </row>
    <row r="21" spans="2:17" ht="13.2" customHeight="1" x14ac:dyDescent="0.25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4"/>
      <c r="M21" s="48"/>
      <c r="N21" s="48"/>
      <c r="O21" s="48"/>
      <c r="P21" s="48"/>
      <c r="Q21" s="4"/>
    </row>
    <row r="22" spans="2:17" ht="13.2" customHeight="1" x14ac:dyDescent="0.25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4"/>
      <c r="M22" s="48"/>
      <c r="N22" s="48"/>
      <c r="O22" s="48"/>
      <c r="P22" s="48"/>
      <c r="Q22" s="4"/>
    </row>
    <row r="23" spans="2:17" ht="13.2" customHeight="1" x14ac:dyDescent="0.25"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4"/>
      <c r="M23" s="48"/>
      <c r="N23" s="48"/>
      <c r="O23" s="48"/>
      <c r="P23" s="48"/>
      <c r="Q23" s="4"/>
    </row>
    <row r="24" spans="2:17" ht="13.2" customHeight="1" x14ac:dyDescent="0.25"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4"/>
      <c r="M24" s="48"/>
      <c r="N24" s="48"/>
      <c r="O24" s="48"/>
      <c r="P24" s="48"/>
      <c r="Q24" s="4"/>
    </row>
    <row r="25" spans="2:17" ht="13.2" customHeight="1" x14ac:dyDescent="0.25"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4"/>
      <c r="M25" s="48"/>
      <c r="N25" s="48"/>
      <c r="O25" s="48"/>
      <c r="P25" s="48"/>
      <c r="Q25" s="4"/>
    </row>
    <row r="26" spans="2:17" x14ac:dyDescent="0.25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4"/>
      <c r="M26" s="48"/>
      <c r="N26" s="48"/>
      <c r="O26" s="48"/>
      <c r="P26" s="48"/>
      <c r="Q26" s="4"/>
    </row>
    <row r="27" spans="2:17" x14ac:dyDescent="0.25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4"/>
      <c r="M27" s="48"/>
      <c r="N27" s="48"/>
      <c r="O27" s="48"/>
      <c r="P27" s="48"/>
      <c r="Q27" s="4"/>
    </row>
    <row r="28" spans="2:17" ht="16.2" thickBot="1" x14ac:dyDescent="0.3">
      <c r="B28" s="97" t="s">
        <v>33</v>
      </c>
      <c r="C28" s="97"/>
      <c r="D28" s="97"/>
      <c r="E28" s="97"/>
      <c r="F28" s="97"/>
      <c r="G28" s="97"/>
      <c r="H28" s="97"/>
      <c r="I28" s="97"/>
      <c r="J28" s="97"/>
      <c r="K28" s="97"/>
      <c r="L28" s="4"/>
      <c r="M28" s="48"/>
      <c r="N28" s="48"/>
      <c r="O28" s="48"/>
      <c r="P28" s="48"/>
      <c r="Q28" s="4"/>
    </row>
    <row r="29" spans="2:17" ht="4.8" customHeight="1" x14ac:dyDescent="0.25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"/>
      <c r="M29" s="53"/>
      <c r="N29" s="53"/>
      <c r="O29" s="53"/>
      <c r="P29" s="53"/>
      <c r="Q29" s="4"/>
    </row>
    <row r="30" spans="2:17" x14ac:dyDescent="0.25"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4"/>
      <c r="M30" s="53"/>
      <c r="N30" s="53"/>
      <c r="O30" s="53"/>
      <c r="P30" s="53"/>
      <c r="Q30" s="4"/>
    </row>
    <row r="31" spans="2:17" x14ac:dyDescent="0.25"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4"/>
      <c r="Q31" s="4"/>
    </row>
    <row r="32" spans="2:17" ht="10.8" customHeight="1" x14ac:dyDescent="0.25"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4"/>
      <c r="M32" s="53"/>
      <c r="N32" s="53"/>
      <c r="O32" s="53"/>
      <c r="P32" s="53"/>
      <c r="Q32" s="4"/>
    </row>
    <row r="33" spans="2:17" x14ac:dyDescent="0.25"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4"/>
      <c r="M33" s="53"/>
      <c r="N33" s="53"/>
      <c r="O33" s="53"/>
      <c r="P33" s="53"/>
      <c r="Q33" s="4"/>
    </row>
    <row r="34" spans="2:17" ht="16.2" thickBot="1" x14ac:dyDescent="0.3">
      <c r="B34" s="97" t="s">
        <v>75</v>
      </c>
      <c r="C34" s="97"/>
      <c r="D34" s="97"/>
      <c r="E34" s="97"/>
      <c r="F34" s="97"/>
      <c r="G34" s="97"/>
      <c r="H34" s="97"/>
      <c r="I34" s="97"/>
      <c r="J34" s="97"/>
      <c r="K34" s="97"/>
      <c r="L34" s="4"/>
      <c r="M34" s="97" t="s">
        <v>34</v>
      </c>
      <c r="N34" s="97"/>
      <c r="O34" s="97"/>
      <c r="P34" s="97"/>
      <c r="Q34" s="4"/>
    </row>
    <row r="35" spans="2:17" ht="4.8" customHeight="1" x14ac:dyDescent="0.25"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"/>
      <c r="M35" s="53"/>
      <c r="N35" s="53"/>
      <c r="O35" s="53"/>
      <c r="P35" s="53"/>
      <c r="Q35" s="4"/>
    </row>
    <row r="36" spans="2:17" x14ac:dyDescent="0.25"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4"/>
      <c r="Q36" s="4"/>
    </row>
    <row r="37" spans="2:17" ht="10.199999999999999" customHeight="1" x14ac:dyDescent="0.25"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4"/>
      <c r="M37" s="53"/>
      <c r="N37" s="53"/>
      <c r="O37" s="53"/>
      <c r="P37" s="53"/>
      <c r="Q37" s="4"/>
    </row>
    <row r="38" spans="2:17" x14ac:dyDescent="0.25"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4"/>
      <c r="M38" s="53"/>
      <c r="N38" s="53"/>
      <c r="O38" s="53"/>
      <c r="P38" s="53"/>
      <c r="Q38" s="4"/>
    </row>
    <row r="39" spans="2:17" x14ac:dyDescent="0.25"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4"/>
      <c r="M39" s="53"/>
      <c r="N39" s="53"/>
      <c r="O39" s="53"/>
      <c r="P39" s="53"/>
      <c r="Q39" s="4"/>
    </row>
    <row r="40" spans="2:17" ht="7.2" customHeight="1" x14ac:dyDescent="0.25"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4"/>
      <c r="M40" s="4"/>
      <c r="N40" s="4"/>
      <c r="O40" s="4"/>
      <c r="P40" s="4"/>
      <c r="Q40" s="4"/>
    </row>
    <row r="41" spans="2:17" ht="16.2" thickBot="1" x14ac:dyDescent="0.3">
      <c r="B41" s="97" t="s">
        <v>98</v>
      </c>
      <c r="C41" s="97"/>
      <c r="D41" s="97"/>
      <c r="E41" s="97"/>
      <c r="F41" s="97"/>
      <c r="G41" s="97"/>
      <c r="H41" s="97"/>
      <c r="I41" s="97"/>
      <c r="J41" s="97"/>
      <c r="K41" s="97"/>
      <c r="L41" s="4"/>
      <c r="M41" s="4"/>
      <c r="N41" s="4"/>
      <c r="O41" s="4"/>
      <c r="P41" s="4"/>
      <c r="Q41" s="4"/>
    </row>
    <row r="42" spans="2:17" ht="4.8" customHeight="1" x14ac:dyDescent="0.25"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"/>
      <c r="M42" s="4"/>
      <c r="N42" s="4"/>
      <c r="O42" s="4"/>
      <c r="P42" s="4"/>
      <c r="Q42" s="4"/>
    </row>
    <row r="43" spans="2:17" x14ac:dyDescent="0.25"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4"/>
      <c r="M43" s="4"/>
      <c r="N43" s="4"/>
      <c r="O43" s="4"/>
      <c r="P43" s="4"/>
      <c r="Q43" s="4"/>
    </row>
    <row r="44" spans="2:17" x14ac:dyDescent="0.25"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4"/>
      <c r="M44" s="4"/>
      <c r="N44" s="4"/>
      <c r="O44" s="4"/>
      <c r="P44" s="4"/>
      <c r="Q44" s="4"/>
    </row>
    <row r="45" spans="2:17" x14ac:dyDescent="0.25"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4"/>
      <c r="M45" s="4"/>
      <c r="N45" s="4"/>
      <c r="O45" s="4"/>
      <c r="P45" s="4"/>
      <c r="Q45" s="4"/>
    </row>
    <row r="46" spans="2:17" x14ac:dyDescent="0.25"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4"/>
      <c r="M46" s="4"/>
      <c r="N46" s="4"/>
      <c r="O46" s="4"/>
      <c r="P46" s="4"/>
      <c r="Q46" s="4"/>
    </row>
  </sheetData>
  <mergeCells count="12">
    <mergeCell ref="M19:P19"/>
    <mergeCell ref="B19:K19"/>
    <mergeCell ref="F10:M16"/>
    <mergeCell ref="M34:P34"/>
    <mergeCell ref="B21:K27"/>
    <mergeCell ref="B30:K33"/>
    <mergeCell ref="B41:K41"/>
    <mergeCell ref="B43:K46"/>
    <mergeCell ref="B34:K34"/>
    <mergeCell ref="B36:K40"/>
    <mergeCell ref="G5:H5"/>
    <mergeCell ref="B28:K28"/>
  </mergeCells>
  <pageMargins left="0.7" right="0.7" top="0.75" bottom="0.75" header="0.3" footer="0.3"/>
  <pageSetup paperSize="9" scale="90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Capital!$E$1:$AE$1</xm:f>
          </x14:formula1>
          <xm:sqref>T2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R46"/>
  <sheetViews>
    <sheetView tabSelected="1" view="pageBreakPreview" zoomScale="70" zoomScaleNormal="100" zoomScaleSheetLayoutView="70" workbookViewId="0">
      <selection activeCell="Q13" sqref="Q13"/>
    </sheetView>
  </sheetViews>
  <sheetFormatPr baseColWidth="10" defaultRowHeight="13.2" x14ac:dyDescent="0.25"/>
  <cols>
    <col min="1" max="1" width="2.44140625" style="4" customWidth="1"/>
    <col min="2" max="2" width="19.6640625" bestFit="1" customWidth="1"/>
    <col min="3" max="3" width="15" bestFit="1" customWidth="1"/>
    <col min="4" max="4" width="15.33203125" bestFit="1" customWidth="1"/>
    <col min="5" max="5" width="12.44140625" bestFit="1" customWidth="1"/>
    <col min="6" max="6" width="8.21875" customWidth="1"/>
    <col min="7" max="7" width="7" customWidth="1"/>
    <col min="8" max="8" width="11.33203125" customWidth="1"/>
    <col min="9" max="9" width="8.33203125" customWidth="1"/>
    <col min="10" max="12" width="12" customWidth="1"/>
    <col min="13" max="13" width="18.88671875" customWidth="1"/>
    <col min="15" max="15" width="2.5546875" customWidth="1"/>
  </cols>
  <sheetData>
    <row r="1" spans="1:18" ht="7.2" customHeight="1" x14ac:dyDescent="0.2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8" ht="16.2" thickBot="1" x14ac:dyDescent="0.3">
      <c r="A2" s="13"/>
      <c r="B2" s="97" t="s">
        <v>35</v>
      </c>
      <c r="C2" s="97"/>
      <c r="D2" s="97"/>
      <c r="E2" s="97"/>
      <c r="F2" s="13"/>
      <c r="G2" s="13"/>
      <c r="H2" s="97" t="s">
        <v>73</v>
      </c>
      <c r="I2" s="97"/>
      <c r="J2" s="97"/>
      <c r="K2" s="97"/>
      <c r="L2" s="97"/>
      <c r="M2" s="97"/>
      <c r="N2" s="97"/>
      <c r="O2" s="4"/>
      <c r="Q2" s="50">
        <f>+'Fiche entreprise p.1'!T2</f>
        <v>42825</v>
      </c>
      <c r="R2">
        <f>+HLOOKUP(Q2,Capital!$1:$2,2,FALSE)</f>
        <v>8</v>
      </c>
    </row>
    <row r="3" spans="1:18" ht="12.6" customHeight="1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8" ht="13.8" x14ac:dyDescent="0.25">
      <c r="B4" s="19"/>
      <c r="C4" s="26" t="s">
        <v>36</v>
      </c>
      <c r="D4" s="27" t="s">
        <v>37</v>
      </c>
      <c r="E4" s="27" t="s">
        <v>48</v>
      </c>
      <c r="F4" s="14"/>
      <c r="G4" s="14"/>
      <c r="H4" s="4"/>
      <c r="I4" s="4"/>
      <c r="J4" s="4"/>
      <c r="K4" s="4"/>
      <c r="L4" s="4"/>
      <c r="M4" s="4"/>
      <c r="N4" s="4"/>
      <c r="O4" s="4"/>
    </row>
    <row r="5" spans="1:18" x14ac:dyDescent="0.25">
      <c r="B5" s="28" t="s">
        <v>38</v>
      </c>
      <c r="C5" s="23">
        <f>+INDEX(Capital!$E:$AE,Capital!$D$17,$R$2)</f>
        <v>0</v>
      </c>
      <c r="D5" s="20">
        <f>+INDEX(Pret!$E:$AE,Pret!$D$24,$R$2)</f>
        <v>0</v>
      </c>
      <c r="E5" s="20">
        <f>+D5+C5</f>
        <v>0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spans="1:18" x14ac:dyDescent="0.25">
      <c r="B6" s="29" t="s">
        <v>39</v>
      </c>
      <c r="C6" s="24">
        <f>+INDEX(Capital!$E:$AE,Capital!$D$14,$R$2)</f>
        <v>0</v>
      </c>
      <c r="D6" s="21">
        <f>+INDEX(Pret!$E:$AE,Pret!$D$23,$R$2)</f>
        <v>0</v>
      </c>
      <c r="E6" s="21">
        <f t="shared" ref="E6:E11" si="0">+D6+C6</f>
        <v>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spans="1:18" x14ac:dyDescent="0.25">
      <c r="B7" s="29" t="s">
        <v>40</v>
      </c>
      <c r="C7" s="24">
        <f>+C6-C5</f>
        <v>0</v>
      </c>
      <c r="D7" s="21">
        <f>+D6-D5</f>
        <v>0</v>
      </c>
      <c r="E7" s="21">
        <f t="shared" si="0"/>
        <v>0</v>
      </c>
      <c r="F7" s="4"/>
      <c r="G7" s="4"/>
      <c r="H7" s="4"/>
      <c r="I7" s="4"/>
      <c r="J7" s="4"/>
      <c r="K7" s="4"/>
      <c r="L7" s="4"/>
      <c r="M7" s="4"/>
      <c r="N7" s="4"/>
      <c r="O7" s="4"/>
    </row>
    <row r="8" spans="1:18" x14ac:dyDescent="0.25">
      <c r="B8" s="29" t="s">
        <v>41</v>
      </c>
      <c r="C8" s="24">
        <f>+INDEX(Capital!$E:$AE,Capital!$D$19,$R$2)+INDEX(Capital!$E:$AE,Capital!$D$21,$R$2)</f>
        <v>0</v>
      </c>
      <c r="D8" s="21">
        <f>+INDEX(Pret!$E:$AE,Pret!$D$26,$R$2)</f>
        <v>0</v>
      </c>
      <c r="E8" s="21">
        <f t="shared" si="0"/>
        <v>0</v>
      </c>
      <c r="F8" s="4"/>
      <c r="G8" s="4"/>
      <c r="H8" s="4"/>
      <c r="I8" s="4"/>
      <c r="J8" s="4"/>
      <c r="K8" s="4"/>
      <c r="L8" s="4"/>
      <c r="M8" s="4"/>
      <c r="N8" s="4"/>
      <c r="O8" s="4"/>
    </row>
    <row r="9" spans="1:18" x14ac:dyDescent="0.25">
      <c r="B9" s="29" t="s">
        <v>43</v>
      </c>
      <c r="C9" s="24">
        <f>+INDEX(Capital!$E:$AE,Capital!$D$18,$R$2)</f>
        <v>0</v>
      </c>
      <c r="D9" s="21">
        <f>+INDEX(Pret!$E:$AE,Pret!$D$25,$R$2)</f>
        <v>0</v>
      </c>
      <c r="E9" s="21">
        <f t="shared" si="0"/>
        <v>0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pans="1:18" x14ac:dyDescent="0.25">
      <c r="B10" s="29" t="s">
        <v>42</v>
      </c>
      <c r="C10" s="24"/>
      <c r="D10" s="21">
        <f>+INDEX(Pret!$E:$AE,Pret!$D$36,$R$2)+INDEX(Pret!$E:$AE,Pret!$D$37,$R$2)</f>
        <v>0</v>
      </c>
      <c r="E10" s="21">
        <f t="shared" si="0"/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8" x14ac:dyDescent="0.25">
      <c r="B11" s="29" t="s">
        <v>44</v>
      </c>
      <c r="C11" s="24">
        <f>+INDEX(Capital!$E:$AE,Capital!$D$16,$R$2)</f>
        <v>0</v>
      </c>
      <c r="D11" s="21">
        <f>+INDEX(Pret!$E:$AE,Pret!$D$31,$R$2)</f>
        <v>0</v>
      </c>
      <c r="E11" s="21">
        <f t="shared" si="0"/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8" x14ac:dyDescent="0.25">
      <c r="B12" s="30" t="s">
        <v>45</v>
      </c>
      <c r="C12" s="25" t="e">
        <f>+(C11+C8+C9)/C5</f>
        <v>#DIV/0!</v>
      </c>
      <c r="D12" s="22" t="e">
        <f>+(D11+D8+D9+D10)/D5</f>
        <v>#DIV/0!</v>
      </c>
      <c r="E12" s="22" t="e">
        <f>+(E11+E8+E9)/E5</f>
        <v>#DIV/0!</v>
      </c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8" ht="16.2" thickBot="1" x14ac:dyDescent="0.35">
      <c r="B13" s="16"/>
      <c r="C13" s="15"/>
      <c r="D13" s="4"/>
      <c r="E13" s="4"/>
      <c r="F13" s="4"/>
      <c r="G13" s="4"/>
      <c r="H13" s="97" t="s">
        <v>65</v>
      </c>
      <c r="I13" s="97"/>
      <c r="J13" s="97"/>
      <c r="K13" s="97"/>
      <c r="L13" s="97"/>
      <c r="M13" s="97"/>
      <c r="N13" s="97"/>
      <c r="O13" s="4"/>
    </row>
    <row r="14" spans="1:18" ht="14.4" x14ac:dyDescent="0.3">
      <c r="B14" s="16"/>
      <c r="C14" s="1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8" ht="16.2" thickBot="1" x14ac:dyDescent="0.35">
      <c r="B15" s="97" t="s">
        <v>58</v>
      </c>
      <c r="C15" s="97"/>
      <c r="D15" s="97"/>
      <c r="E15" s="97"/>
      <c r="F15" s="4"/>
      <c r="G15" s="4"/>
      <c r="H15" s="42" t="s">
        <v>66</v>
      </c>
      <c r="I15" s="4"/>
      <c r="J15" s="4"/>
      <c r="K15" s="4"/>
      <c r="L15" s="43">
        <f>+'Donnees figees'!B9</f>
        <v>0</v>
      </c>
      <c r="M15" s="4"/>
      <c r="N15" s="4"/>
      <c r="O15" s="4"/>
    </row>
    <row r="16" spans="1:18" ht="14.4" x14ac:dyDescent="0.3">
      <c r="B16" s="16"/>
      <c r="C16" s="18"/>
      <c r="D16" s="4"/>
      <c r="E16" s="4"/>
      <c r="F16" s="4"/>
      <c r="G16" s="4"/>
      <c r="H16" s="42" t="s">
        <v>68</v>
      </c>
      <c r="I16" s="4"/>
      <c r="J16" s="4"/>
      <c r="K16" s="4"/>
      <c r="L16" s="43" t="s">
        <v>69</v>
      </c>
      <c r="M16" s="4"/>
      <c r="N16" s="4"/>
      <c r="O16" s="4"/>
    </row>
    <row r="17" spans="2:18" ht="13.8" x14ac:dyDescent="0.3">
      <c r="B17" s="32"/>
      <c r="C17" s="39">
        <v>42735</v>
      </c>
      <c r="D17" s="39">
        <v>42369</v>
      </c>
      <c r="E17" s="40" t="s">
        <v>46</v>
      </c>
      <c r="F17" s="4"/>
      <c r="G17" s="4"/>
      <c r="H17" s="42" t="s">
        <v>67</v>
      </c>
      <c r="I17" s="4"/>
      <c r="J17" s="4"/>
      <c r="K17" s="4"/>
      <c r="L17" s="43" t="s">
        <v>69</v>
      </c>
      <c r="M17" s="4"/>
      <c r="N17" s="4"/>
      <c r="O17" s="4"/>
    </row>
    <row r="18" spans="2:18" ht="13.8" x14ac:dyDescent="0.3">
      <c r="B18" s="33" t="s">
        <v>49</v>
      </c>
      <c r="C18" s="34">
        <f>+INDEX(Performance!$E:$AE,Performance!$D$4,$R$18)</f>
        <v>0</v>
      </c>
      <c r="D18" s="34">
        <f>+INDEX(Performance!$E:$AE,Performance!$D$4,$R$19)</f>
        <v>0</v>
      </c>
      <c r="E18" s="35" t="str">
        <f>IF(OR(C18="N/A",D18="N/A",D18=0),"N/A",IF(OR(AND(C18&gt;0,D18&lt;0),AND(C18&lt;0,D18&lt;0)),-(C18-D18)/D18,(C18-D18)/D18))</f>
        <v>N/A</v>
      </c>
      <c r="F18" s="4"/>
      <c r="G18" s="4"/>
      <c r="H18" s="4"/>
      <c r="I18" s="4"/>
      <c r="J18" s="4"/>
      <c r="K18" s="4"/>
      <c r="L18" s="42"/>
      <c r="M18" s="4"/>
      <c r="N18" s="4"/>
      <c r="O18" s="4"/>
      <c r="Q18" s="50">
        <f t="shared" ref="Q18" si="1">C17</f>
        <v>42735</v>
      </c>
      <c r="R18">
        <f>+HLOOKUP(Q18,Capital!$1:$2,2,FALSE)</f>
        <v>7</v>
      </c>
    </row>
    <row r="19" spans="2:18" x14ac:dyDescent="0.25">
      <c r="B19" s="33" t="s">
        <v>8</v>
      </c>
      <c r="C19" s="34">
        <f>+INDEX(Performance!$E:$AE,Performance!$D$5,$R$18)</f>
        <v>0</v>
      </c>
      <c r="D19" s="34">
        <f>+INDEX(Performance!$E:$AE,Performance!$D$5,$R$19)</f>
        <v>0</v>
      </c>
      <c r="E19" s="35" t="str">
        <f>IF(OR(C19="N/A",D19="N/A",D19=0),"N/A",IF(OR(AND(C19&gt;0,D19&lt;0),AND(C19&lt;0,D19&lt;0)),-(C19-D19)/D19,(C19-D19)/D19))</f>
        <v>N/A</v>
      </c>
      <c r="F19" s="4"/>
      <c r="G19" s="4"/>
      <c r="H19" s="4"/>
      <c r="I19" s="4"/>
      <c r="J19" s="4"/>
      <c r="K19" s="4"/>
      <c r="L19" s="4"/>
      <c r="M19" s="4"/>
      <c r="N19" s="4"/>
      <c r="O19" s="4"/>
      <c r="Q19" s="50">
        <f>D17</f>
        <v>42369</v>
      </c>
      <c r="R19">
        <f>+HLOOKUP(Q19,Capital!$1:$2,2,FALSE)</f>
        <v>3</v>
      </c>
    </row>
    <row r="20" spans="2:18" ht="16.2" thickBot="1" x14ac:dyDescent="0.3">
      <c r="B20" s="33" t="s">
        <v>47</v>
      </c>
      <c r="C20" s="34">
        <f>+INDEX(Performance!$E:$AE,Performance!$D$6,$R$18)</f>
        <v>0</v>
      </c>
      <c r="D20" s="34">
        <f>+INDEX(Performance!$E:$AE,Performance!$D$6,$R$19)</f>
        <v>0</v>
      </c>
      <c r="E20" s="35" t="str">
        <f>IF(OR(C20="N/A",D20="N/A",D20=0),"N/A",IF(OR(AND(C20&gt;0,D20&lt;0),AND(C20&lt;0,D20&lt;0)),-(C20-D20)/D20,(C20-D20)/D20))</f>
        <v>N/A</v>
      </c>
      <c r="F20" s="4"/>
      <c r="G20" s="4"/>
      <c r="H20" s="97" t="s">
        <v>70</v>
      </c>
      <c r="I20" s="97"/>
      <c r="J20" s="97"/>
      <c r="K20" s="97"/>
      <c r="L20" s="97"/>
      <c r="M20" s="97"/>
      <c r="N20" s="97"/>
      <c r="O20" s="4"/>
    </row>
    <row r="21" spans="2:18" ht="13.8" x14ac:dyDescent="0.3">
      <c r="B21" s="36" t="s">
        <v>50</v>
      </c>
      <c r="C21" s="37">
        <f>+INDEX(Performance!$E:$AE,Performance!$D$7,$R$18)</f>
        <v>0</v>
      </c>
      <c r="D21" s="37">
        <f>+INDEX(Performance!$E:$AE,Performance!$D$7,$R$19)</f>
        <v>0</v>
      </c>
      <c r="E21" s="38" t="str">
        <f>IF(OR(C21="N/A",D21="N/A",D21=0),"N/A",IF(OR(AND(C21&gt;0,D21&lt;0),AND(C21&lt;0,D21&lt;0)),-(C21-D21)/D21,(C21-D21)/D21))</f>
        <v>N/A</v>
      </c>
      <c r="F21" s="4"/>
      <c r="G21" s="4"/>
      <c r="H21" s="42"/>
      <c r="I21" s="4"/>
      <c r="J21" s="4"/>
      <c r="K21" s="4"/>
      <c r="L21" s="4"/>
      <c r="M21" s="4"/>
      <c r="N21" s="4"/>
      <c r="O21" s="4"/>
    </row>
    <row r="22" spans="2:18" ht="13.8" x14ac:dyDescent="0.3">
      <c r="B22" s="4"/>
      <c r="C22" s="4"/>
      <c r="D22" s="4"/>
      <c r="E22" s="4"/>
      <c r="F22" s="4"/>
      <c r="G22" s="4"/>
      <c r="H22" s="42" t="s">
        <v>70</v>
      </c>
      <c r="I22" s="4"/>
      <c r="J22" s="43">
        <f>+'Donnees figees'!B12</f>
        <v>0</v>
      </c>
      <c r="K22" s="4"/>
      <c r="L22" s="4"/>
      <c r="M22" s="4"/>
      <c r="N22" s="4"/>
      <c r="O22" s="4"/>
    </row>
    <row r="23" spans="2:18" ht="13.8" x14ac:dyDescent="0.3">
      <c r="B23" s="4"/>
      <c r="C23" s="4"/>
      <c r="D23" s="4"/>
      <c r="E23" s="4"/>
      <c r="F23" s="4"/>
      <c r="G23" s="4"/>
      <c r="H23" s="42" t="s">
        <v>71</v>
      </c>
      <c r="I23" s="4"/>
      <c r="J23" s="51">
        <f>+'Donnees figees'!B13</f>
        <v>0</v>
      </c>
      <c r="K23" s="4"/>
      <c r="L23" s="4"/>
      <c r="M23" s="4"/>
      <c r="N23" s="4"/>
      <c r="O23" s="4"/>
    </row>
    <row r="24" spans="2:18" ht="16.2" thickBot="1" x14ac:dyDescent="0.35">
      <c r="B24" s="97" t="s">
        <v>51</v>
      </c>
      <c r="C24" s="97"/>
      <c r="D24" s="97"/>
      <c r="E24" s="97"/>
      <c r="F24" s="4"/>
      <c r="G24" s="4"/>
      <c r="H24" s="42" t="s">
        <v>74</v>
      </c>
      <c r="I24" s="4"/>
      <c r="J24" s="52">
        <f>+'Donnees figees'!B10</f>
        <v>0</v>
      </c>
      <c r="K24" s="49"/>
      <c r="L24" s="49"/>
      <c r="M24" s="49"/>
      <c r="N24" s="49"/>
      <c r="O24" s="4"/>
    </row>
    <row r="25" spans="2:18" x14ac:dyDescent="0.25">
      <c r="B25" s="4"/>
      <c r="C25" s="4"/>
      <c r="D25" s="4"/>
      <c r="E25" s="4"/>
      <c r="F25" s="4"/>
      <c r="G25" s="4"/>
      <c r="H25" s="49"/>
      <c r="I25" s="49"/>
      <c r="J25" s="47"/>
      <c r="K25" s="49"/>
      <c r="L25" s="49"/>
      <c r="M25" s="49"/>
      <c r="N25" s="49"/>
      <c r="O25" s="4"/>
    </row>
    <row r="26" spans="2:18" x14ac:dyDescent="0.25">
      <c r="B26" s="32"/>
      <c r="C26" s="39">
        <f>+C17</f>
        <v>42735</v>
      </c>
      <c r="D26" s="39">
        <f>+D17</f>
        <v>42369</v>
      </c>
      <c r="E26" s="40" t="s">
        <v>46</v>
      </c>
      <c r="F26" s="4"/>
      <c r="G26" s="4"/>
      <c r="H26" s="49"/>
      <c r="I26" s="49"/>
      <c r="J26" s="49"/>
      <c r="K26" s="49"/>
      <c r="L26" s="49"/>
      <c r="M26" s="49"/>
      <c r="N26" s="49"/>
      <c r="O26" s="4"/>
    </row>
    <row r="27" spans="2:18" ht="16.2" thickBot="1" x14ac:dyDescent="0.3">
      <c r="B27" s="33" t="s">
        <v>52</v>
      </c>
      <c r="C27" s="34">
        <f>+INDEX(Performance!$E:$AE,Performance!$D$10,$R$18)</f>
        <v>0</v>
      </c>
      <c r="D27" s="34">
        <f>+INDEX(Performance!$E:$AE,Performance!$D$10,$R$19)</f>
        <v>0</v>
      </c>
      <c r="E27" s="35" t="str">
        <f>IF(OR(C27="N/A",D27="N/A",D27=0),"N/A",IF(OR(AND(C27&gt;0,D27&lt;0),AND(C27&lt;0,D27&lt;0)),-(C27-D27)/D27,(C27-D27)/D27))</f>
        <v>N/A</v>
      </c>
      <c r="F27" s="4"/>
      <c r="G27" s="4"/>
      <c r="H27" s="97" t="s">
        <v>59</v>
      </c>
      <c r="I27" s="97"/>
      <c r="J27" s="97"/>
      <c r="K27" s="97"/>
      <c r="L27" s="97"/>
      <c r="M27" s="97"/>
      <c r="N27" s="97"/>
      <c r="O27" s="4"/>
    </row>
    <row r="28" spans="2:18" ht="17.399999999999999" customHeight="1" x14ac:dyDescent="0.25">
      <c r="B28" s="33" t="s">
        <v>53</v>
      </c>
      <c r="C28" s="34">
        <f>+INDEX(Performance!$E:$AE,Performance!$D$11,$R$18)</f>
        <v>0</v>
      </c>
      <c r="D28" s="34">
        <f>+INDEX(Performance!$E:$AE,Performance!$D$11,$R$19)</f>
        <v>0</v>
      </c>
      <c r="E28" s="35" t="str">
        <f t="shared" ref="E28:E30" si="2">IF(OR(C28="N/A",D28="N/A",D28=0),"N/A",IF(OR(AND(C28&gt;0,D28&lt;0),AND(C28&lt;0,D28&lt;0)),-(C28-D28)/D28,(C28-D28)/D28))</f>
        <v>N/A</v>
      </c>
      <c r="F28" s="4"/>
      <c r="G28" s="4"/>
      <c r="H28" s="49"/>
      <c r="I28" s="49"/>
      <c r="J28" s="49"/>
      <c r="K28" s="49"/>
      <c r="L28" s="49"/>
      <c r="M28" s="49"/>
      <c r="N28" s="49"/>
      <c r="O28" s="4"/>
    </row>
    <row r="29" spans="2:18" x14ac:dyDescent="0.25">
      <c r="B29" s="33" t="s">
        <v>11</v>
      </c>
      <c r="C29" s="34">
        <f>+INDEX(Performance!$E:$AE,Performance!$D$12,$R$18)</f>
        <v>0</v>
      </c>
      <c r="D29" s="34">
        <f>+INDEX(Performance!$E:$AE,Performance!$D$12,$R$19)</f>
        <v>0</v>
      </c>
      <c r="E29" s="35" t="str">
        <f t="shared" si="2"/>
        <v>N/A</v>
      </c>
      <c r="F29" s="4"/>
      <c r="G29" s="4"/>
      <c r="H29" s="49"/>
      <c r="I29" s="49"/>
      <c r="J29" s="49"/>
      <c r="K29" s="49"/>
      <c r="L29" s="49"/>
      <c r="M29" s="49"/>
      <c r="N29" s="49"/>
      <c r="O29" s="4"/>
    </row>
    <row r="30" spans="2:18" x14ac:dyDescent="0.25">
      <c r="B30" s="36" t="s">
        <v>56</v>
      </c>
      <c r="C30" s="37">
        <f>+SUM(C27:C29)</f>
        <v>0</v>
      </c>
      <c r="D30" s="37">
        <f>+SUM(D27:D29)</f>
        <v>0</v>
      </c>
      <c r="E30" s="38" t="str">
        <f t="shared" si="2"/>
        <v>N/A</v>
      </c>
      <c r="F30" s="4"/>
      <c r="G30" s="4"/>
      <c r="H30" s="49"/>
      <c r="I30" s="49"/>
      <c r="J30" s="49"/>
      <c r="K30" s="49"/>
      <c r="L30" s="49"/>
      <c r="M30" s="49"/>
      <c r="N30" s="49"/>
      <c r="O30" s="4"/>
    </row>
    <row r="31" spans="2:18" x14ac:dyDescent="0.25">
      <c r="B31" s="33" t="s">
        <v>13</v>
      </c>
      <c r="C31" s="34">
        <f>+INDEX(Performance!$E:$AE,Performance!$D$14,$R$18)</f>
        <v>0</v>
      </c>
      <c r="D31" s="34">
        <f>+INDEX(Performance!$E:$AE,Performance!$D$14,$R$19)</f>
        <v>0</v>
      </c>
      <c r="E31" s="35" t="str">
        <f>IF(OR(C31="N/A",D31="N/A",D31=0),"N/A",IF(OR(AND(C31&gt;0,D31&lt;0),AND(C31&lt;0,D31&lt;0)),-(C31-D31)/D31,(C31-D31)/D31))</f>
        <v>N/A</v>
      </c>
      <c r="F31" s="4"/>
      <c r="G31" s="4"/>
      <c r="H31" s="49"/>
      <c r="I31" s="49"/>
      <c r="J31" s="49"/>
      <c r="K31" s="49"/>
      <c r="L31" s="49"/>
      <c r="M31" s="49"/>
      <c r="N31" s="49"/>
      <c r="O31" s="4"/>
    </row>
    <row r="32" spans="2:18" x14ac:dyDescent="0.25">
      <c r="B32" s="33" t="s">
        <v>54</v>
      </c>
      <c r="C32" s="34">
        <f>+INDEX(Performance!$E:$AE,Performance!$D$15,$R$18)</f>
        <v>0</v>
      </c>
      <c r="D32" s="34">
        <f>+INDEX(Performance!$E:$AE,Performance!$D$15,$R$19)</f>
        <v>0</v>
      </c>
      <c r="E32" s="35" t="str">
        <f t="shared" ref="E32:E34" si="3">IF(OR(C32="N/A",D32="N/A",D32=0),"N/A",IF(OR(AND(C32&gt;0,D32&lt;0),AND(C32&lt;0,D32&lt;0)),-(C32-D32)/D32,(C32-D32)/D32))</f>
        <v>N/A</v>
      </c>
      <c r="F32" s="4"/>
      <c r="G32" s="4"/>
      <c r="H32" s="49"/>
      <c r="I32" s="49"/>
      <c r="J32" s="49"/>
      <c r="K32" s="49"/>
      <c r="L32" s="49"/>
      <c r="M32" s="49"/>
      <c r="N32" s="49"/>
      <c r="O32" s="4"/>
    </row>
    <row r="33" spans="2:15" x14ac:dyDescent="0.25">
      <c r="B33" s="33" t="s">
        <v>55</v>
      </c>
      <c r="C33" s="34">
        <f>+INDEX(Performance!$E:$AE,Performance!$D$16,$R$18)</f>
        <v>0</v>
      </c>
      <c r="D33" s="34">
        <f>+INDEX(Performance!$E:$AE,Performance!$D$16,$R$19)</f>
        <v>0</v>
      </c>
      <c r="E33" s="35" t="str">
        <f t="shared" si="3"/>
        <v>N/A</v>
      </c>
      <c r="F33" s="4"/>
      <c r="G33" s="4"/>
      <c r="H33" s="49"/>
      <c r="I33" s="49"/>
      <c r="J33" s="49"/>
      <c r="K33" s="49"/>
      <c r="L33" s="49"/>
      <c r="M33" s="49"/>
      <c r="N33" s="49"/>
      <c r="O33" s="4"/>
    </row>
    <row r="34" spans="2:15" x14ac:dyDescent="0.25">
      <c r="B34" s="36" t="s">
        <v>57</v>
      </c>
      <c r="C34" s="37">
        <f>+SUM(C31:C33)</f>
        <v>0</v>
      </c>
      <c r="D34" s="37">
        <f>+SUM(D31:D33)</f>
        <v>0</v>
      </c>
      <c r="E34" s="38" t="str">
        <f t="shared" si="3"/>
        <v>N/A</v>
      </c>
      <c r="F34" s="4"/>
      <c r="G34" s="4"/>
      <c r="H34" s="49"/>
      <c r="I34" s="49"/>
      <c r="J34" s="49"/>
      <c r="K34" s="49"/>
      <c r="L34" s="49"/>
      <c r="M34" s="49"/>
      <c r="N34" s="49"/>
      <c r="O34" s="4"/>
    </row>
    <row r="35" spans="2:15" x14ac:dyDescent="0.25">
      <c r="B35" s="4"/>
      <c r="C35" s="4"/>
      <c r="D35" s="4"/>
      <c r="E35" s="4"/>
      <c r="F35" s="4"/>
      <c r="G35" s="4"/>
      <c r="H35" s="49"/>
      <c r="I35" s="49"/>
      <c r="J35" s="49"/>
      <c r="K35" s="49"/>
      <c r="L35" s="49"/>
      <c r="M35" s="49"/>
      <c r="N35" s="49"/>
      <c r="O35" s="4"/>
    </row>
    <row r="36" spans="2:15" x14ac:dyDescent="0.25">
      <c r="B36" s="4"/>
      <c r="C36" s="4"/>
      <c r="D36" s="4"/>
      <c r="E36" s="4"/>
      <c r="F36" s="4"/>
      <c r="G36" s="4"/>
      <c r="H36" s="49"/>
      <c r="I36" s="49"/>
      <c r="J36" s="49"/>
      <c r="K36" s="49"/>
      <c r="L36" s="49"/>
      <c r="M36" s="49"/>
      <c r="N36" s="49"/>
      <c r="O36" s="4"/>
    </row>
    <row r="37" spans="2:15" ht="16.2" thickBot="1" x14ac:dyDescent="0.3">
      <c r="B37" s="97" t="s">
        <v>60</v>
      </c>
      <c r="C37" s="97"/>
      <c r="D37" s="97"/>
      <c r="E37" s="97"/>
      <c r="F37" s="4"/>
      <c r="G37" s="4"/>
      <c r="H37" s="49"/>
      <c r="I37" s="49"/>
      <c r="J37" s="49"/>
      <c r="K37" s="49"/>
      <c r="L37" s="49"/>
      <c r="M37" s="49"/>
      <c r="N37" s="49"/>
      <c r="O37" s="4"/>
    </row>
    <row r="38" spans="2:15" x14ac:dyDescent="0.25">
      <c r="B38" s="4"/>
      <c r="C38" s="4"/>
      <c r="D38" s="4"/>
      <c r="E38" s="4"/>
      <c r="F38" s="4"/>
      <c r="G38" s="4"/>
      <c r="H38" s="49"/>
      <c r="I38" s="49"/>
      <c r="J38" s="49"/>
      <c r="K38" s="49"/>
      <c r="L38" s="49"/>
      <c r="M38" s="49"/>
      <c r="N38" s="49"/>
      <c r="O38" s="4"/>
    </row>
    <row r="39" spans="2:15" ht="13.8" x14ac:dyDescent="0.25">
      <c r="B39" s="31"/>
      <c r="C39" s="39">
        <f>+C26</f>
        <v>42735</v>
      </c>
      <c r="D39" s="39">
        <f>+D26</f>
        <v>42369</v>
      </c>
      <c r="E39" s="4"/>
      <c r="F39" s="4"/>
      <c r="G39" s="4"/>
      <c r="H39" s="49"/>
      <c r="I39" s="49"/>
      <c r="J39" s="49"/>
      <c r="K39" s="49"/>
      <c r="L39" s="49"/>
      <c r="M39" s="49"/>
      <c r="N39" s="49"/>
      <c r="O39" s="4"/>
    </row>
    <row r="40" spans="2:15" ht="13.8" x14ac:dyDescent="0.25">
      <c r="B40" s="33" t="s">
        <v>61</v>
      </c>
      <c r="C40" s="41" t="e">
        <f>+C19/C18</f>
        <v>#DIV/0!</v>
      </c>
      <c r="D40" s="41" t="e">
        <f>+D19/D18</f>
        <v>#DIV/0!</v>
      </c>
      <c r="E40" s="4"/>
      <c r="F40" s="4"/>
      <c r="G40" s="4"/>
      <c r="H40" s="49"/>
      <c r="I40" s="49"/>
      <c r="J40" s="49"/>
      <c r="K40" s="49"/>
      <c r="L40" s="49"/>
      <c r="M40" s="49"/>
      <c r="N40" s="49"/>
      <c r="O40" s="4"/>
    </row>
    <row r="41" spans="2:15" ht="13.8" x14ac:dyDescent="0.25">
      <c r="B41" s="33" t="s">
        <v>62</v>
      </c>
      <c r="C41" s="41" t="e">
        <f>+C21/C18</f>
        <v>#DIV/0!</v>
      </c>
      <c r="D41" s="41" t="e">
        <f>+D21/D18</f>
        <v>#DIV/0!</v>
      </c>
      <c r="E41" s="4"/>
      <c r="F41" s="4"/>
      <c r="G41" s="4"/>
      <c r="H41" s="49"/>
      <c r="I41" s="49"/>
      <c r="J41" s="49"/>
      <c r="K41" s="49"/>
      <c r="L41" s="49"/>
      <c r="M41" s="49"/>
      <c r="N41" s="49"/>
      <c r="O41" s="4"/>
    </row>
    <row r="42" spans="2:15" ht="13.8" x14ac:dyDescent="0.25">
      <c r="B42" s="33" t="s">
        <v>63</v>
      </c>
      <c r="C42" s="103" t="e">
        <f>+C21/C31</f>
        <v>#DIV/0!</v>
      </c>
      <c r="D42" s="103" t="e">
        <f>+D21/D31</f>
        <v>#DIV/0!</v>
      </c>
      <c r="E42" s="4"/>
      <c r="F42" s="4"/>
      <c r="G42" s="4"/>
      <c r="H42" s="49"/>
      <c r="I42" s="49"/>
      <c r="J42" s="49"/>
      <c r="K42" s="49"/>
      <c r="L42" s="49"/>
      <c r="M42" s="49"/>
      <c r="N42" s="49"/>
      <c r="O42" s="4"/>
    </row>
    <row r="43" spans="2:15" ht="13.8" x14ac:dyDescent="0.25">
      <c r="B43" s="33" t="s">
        <v>64</v>
      </c>
      <c r="C43" s="104" t="e">
        <f>+C31/C34</f>
        <v>#DIV/0!</v>
      </c>
      <c r="D43" s="104" t="e">
        <f>+D31/D34</f>
        <v>#DIV/0!</v>
      </c>
      <c r="E43" s="4"/>
      <c r="F43" s="4"/>
      <c r="G43" s="4"/>
      <c r="H43" s="49"/>
      <c r="I43" s="49"/>
      <c r="J43" s="49"/>
      <c r="K43" s="49"/>
      <c r="L43" s="49"/>
      <c r="M43" s="49"/>
      <c r="N43" s="49"/>
      <c r="O43" s="4"/>
    </row>
    <row r="44" spans="2:15" s="4" customFormat="1" x14ac:dyDescent="0.25"/>
    <row r="45" spans="2:15" s="4" customFormat="1" x14ac:dyDescent="0.25"/>
    <row r="46" spans="2:15" s="4" customFormat="1" x14ac:dyDescent="0.25"/>
  </sheetData>
  <mergeCells count="8">
    <mergeCell ref="H13:N13"/>
    <mergeCell ref="B2:E2"/>
    <mergeCell ref="B15:E15"/>
    <mergeCell ref="B24:E24"/>
    <mergeCell ref="B37:E37"/>
    <mergeCell ref="H27:N27"/>
    <mergeCell ref="H2:N2"/>
    <mergeCell ref="H20:N20"/>
  </mergeCells>
  <pageMargins left="0.7" right="0.7" top="0.75" bottom="0.75" header="0.3" footer="0.3"/>
  <pageSetup paperSize="9" scale="80" fitToHeight="0" orientation="landscape" r:id="rId1"/>
  <rowBreaks count="1" manualBreakCount="1">
    <brk id="46" max="1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E35AAB68-7EF1-419B-9A25-FA34E399445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E18:E21</xm:sqref>
        </x14:conditionalFormatting>
        <x14:conditionalFormatting xmlns:xm="http://schemas.microsoft.com/office/excel/2006/main">
          <x14:cfRule type="iconSet" priority="2" id="{8853CA12-9E48-442F-84D3-CBB667A45A4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E31:E34</xm:sqref>
        </x14:conditionalFormatting>
        <x14:conditionalFormatting xmlns:xm="http://schemas.microsoft.com/office/excel/2006/main">
          <x14:cfRule type="iconSet" priority="1" id="{343E9CAF-E387-4A5F-A976-D1EAB3B5F4E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E27:E30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Performance!$E$1:$AE$1</xm:f>
          </x14:formula1>
          <xm:sqref>C17:D17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2</vt:i4>
      </vt:variant>
    </vt:vector>
  </HeadingPairs>
  <TitlesOfParts>
    <vt:vector size="10" baseType="lpstr">
      <vt:lpstr>Donnees figees</vt:lpstr>
      <vt:lpstr>Capital</vt:lpstr>
      <vt:lpstr>Pret</vt:lpstr>
      <vt:lpstr>Performance</vt:lpstr>
      <vt:lpstr>Impact</vt:lpstr>
      <vt:lpstr>Couts suivi</vt:lpstr>
      <vt:lpstr>Fiche entreprise p.1</vt:lpstr>
      <vt:lpstr>Fiche entreprise p.2</vt:lpstr>
      <vt:lpstr>'Fiche entreprise p.1'!Zone_d_impression</vt:lpstr>
      <vt:lpstr>'Fiche entreprise p.2'!Zone_d_impression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Thirouin</dc:creator>
  <cp:lastModifiedBy>Alexis Thirouin</cp:lastModifiedBy>
  <cp:lastPrinted>2017-03-14T14:54:09Z</cp:lastPrinted>
  <dcterms:created xsi:type="dcterms:W3CDTF">2015-08-05T15:47:35Z</dcterms:created>
  <dcterms:modified xsi:type="dcterms:W3CDTF">2017-04-14T13:05:53Z</dcterms:modified>
</cp:coreProperties>
</file>